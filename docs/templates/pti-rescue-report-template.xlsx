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BaoCao" sheetId="2" state="visible" r:id="rId2"/>
    <sheet name="CongTh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2" customWidth="1" min="4" max="4"/>
    <col width="16" customWidth="1" min="5" max="5"/>
    <col width="16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Dữ liệu chi tiết đơn cứu hộ — thay bằng export từ hệ thống</t>
        </is>
      </c>
    </row>
    <row r="3">
      <c r="A3" s="2" t="inlineStr">
        <is>
          <t>STT</t>
        </is>
      </c>
      <c r="B3" s="2" t="inlineStr">
        <is>
          <t>Biển kiểm soát</t>
        </is>
      </c>
      <c r="C3" s="2" t="inlineStr">
        <is>
          <t>Loại dịch vụ</t>
        </is>
      </c>
      <c r="D3" s="2" t="inlineStr">
        <is>
          <t>Trạng thái bảo lãnh (nguồn)</t>
        </is>
      </c>
      <c r="E3" s="2" t="inlineStr">
        <is>
          <t>PTI thanh toán</t>
        </is>
      </c>
      <c r="F3" s="2" t="inlineStr">
        <is>
          <t>KH đã thanh toán</t>
        </is>
      </c>
      <c r="G3" s="2" t="inlineStr">
        <is>
          <t>KH công nợ</t>
        </is>
      </c>
      <c r="H3" s="2" t="inlineStr">
        <is>
          <t>Tổng chi phí</t>
        </is>
      </c>
      <c r="I3" s="2" t="inlineStr">
        <is>
          <t>Nhóm báo cáo</t>
        </is>
      </c>
    </row>
    <row r="4">
      <c r="A4" s="3" t="n">
        <v>1</v>
      </c>
      <c r="B4" s="3" t="inlineStr">
        <is>
          <t>BIển-001</t>
        </is>
      </c>
      <c r="C4" s="3" t="inlineStr">
        <is>
          <t>Cẩu kéo</t>
        </is>
      </c>
      <c r="D4" s="3" t="inlineStr">
        <is>
          <t>PTI bảo lãnh</t>
        </is>
      </c>
      <c r="E4" s="4" t="n">
        <v>1667154</v>
      </c>
      <c r="F4" s="4" t="n">
        <v>0</v>
      </c>
      <c r="G4" s="4" t="n">
        <v>0</v>
      </c>
      <c r="H4" s="4">
        <f>E4+F4+G4</f>
        <v/>
      </c>
      <c r="I4" s="3">
        <f>IF(D4="PTI bảo lãnh","Bảo lãnh đủ",IF(D4="PTI bảo lãnh 1 phần","Bảo lãnh một phần",IF(D4="PTI không bảo lãnh","Không bảo lãnh (KH đã TT)",IF(D4="PTI không bảo lãnh, Khách hàng chưa thanh toán","Không bảo lãnh (Chưa thu)",D4))))</f>
        <v/>
      </c>
    </row>
    <row r="5">
      <c r="A5" s="3" t="n">
        <v>2</v>
      </c>
      <c r="B5" s="3" t="inlineStr">
        <is>
          <t>BIển-002</t>
        </is>
      </c>
      <c r="C5" s="3" t="inlineStr">
        <is>
          <t>Cẩu kéo</t>
        </is>
      </c>
      <c r="D5" s="3" t="inlineStr">
        <is>
          <t>PTI bảo lãnh</t>
        </is>
      </c>
      <c r="E5" s="4" t="n">
        <v>1667154</v>
      </c>
      <c r="F5" s="4" t="n">
        <v>0</v>
      </c>
      <c r="G5" s="4" t="n">
        <v>0</v>
      </c>
      <c r="H5" s="4">
        <f>E5+F5+G5</f>
        <v/>
      </c>
      <c r="I5" s="3">
        <f>IF(D5="PTI bảo lãnh","Bảo lãnh đủ",IF(D5="PTI bảo lãnh 1 phần","Bảo lãnh một phần",IF(D5="PTI không bảo lãnh","Không bảo lãnh (KH đã TT)",IF(D5="PTI không bảo lãnh, Khách hàng chưa thanh toán","Không bảo lãnh (Chưa thu)",D5))))</f>
        <v/>
      </c>
    </row>
    <row r="6">
      <c r="A6" s="3" t="n">
        <v>3</v>
      </c>
      <c r="B6" s="3" t="inlineStr">
        <is>
          <t>BIển-003</t>
        </is>
      </c>
      <c r="C6" s="3" t="inlineStr">
        <is>
          <t>Cẩu kéo</t>
        </is>
      </c>
      <c r="D6" s="3" t="inlineStr">
        <is>
          <t>PTI bảo lãnh</t>
        </is>
      </c>
      <c r="E6" s="4" t="n">
        <v>1667154</v>
      </c>
      <c r="F6" s="4" t="n">
        <v>0</v>
      </c>
      <c r="G6" s="4" t="n">
        <v>0</v>
      </c>
      <c r="H6" s="4">
        <f>E6+F6+G6</f>
        <v/>
      </c>
      <c r="I6" s="3">
        <f>IF(D6="PTI bảo lãnh","Bảo lãnh đủ",IF(D6="PTI bảo lãnh 1 phần","Bảo lãnh một phần",IF(D6="PTI không bảo lãnh","Không bảo lãnh (KH đã TT)",IF(D6="PTI không bảo lãnh, Khách hàng chưa thanh toán","Không bảo lãnh (Chưa thu)",D6))))</f>
        <v/>
      </c>
    </row>
    <row r="7">
      <c r="A7" s="3" t="n">
        <v>4</v>
      </c>
      <c r="B7" s="3" t="inlineStr">
        <is>
          <t>BIển-004</t>
        </is>
      </c>
      <c r="C7" s="3" t="inlineStr">
        <is>
          <t>Cẩu kéo</t>
        </is>
      </c>
      <c r="D7" s="3" t="inlineStr">
        <is>
          <t>PTI bảo lãnh</t>
        </is>
      </c>
      <c r="E7" s="4" t="n">
        <v>1667154</v>
      </c>
      <c r="F7" s="4" t="n">
        <v>0</v>
      </c>
      <c r="G7" s="4" t="n">
        <v>0</v>
      </c>
      <c r="H7" s="4">
        <f>E7+F7+G7</f>
        <v/>
      </c>
      <c r="I7" s="3">
        <f>IF(D7="PTI bảo lãnh","Bảo lãnh đủ",IF(D7="PTI bảo lãnh 1 phần","Bảo lãnh một phần",IF(D7="PTI không bảo lãnh","Không bảo lãnh (KH đã TT)",IF(D7="PTI không bảo lãnh, Khách hàng chưa thanh toán","Không bảo lãnh (Chưa thu)",D7))))</f>
        <v/>
      </c>
    </row>
    <row r="8">
      <c r="A8" s="3" t="n">
        <v>5</v>
      </c>
      <c r="B8" s="3" t="inlineStr">
        <is>
          <t>BIển-005</t>
        </is>
      </c>
      <c r="C8" s="3" t="inlineStr">
        <is>
          <t>Cẩu kéo</t>
        </is>
      </c>
      <c r="D8" s="3" t="inlineStr">
        <is>
          <t>PTI bảo lãnh</t>
        </is>
      </c>
      <c r="E8" s="4" t="n">
        <v>1667154</v>
      </c>
      <c r="F8" s="4" t="n">
        <v>0</v>
      </c>
      <c r="G8" s="4" t="n">
        <v>0</v>
      </c>
      <c r="H8" s="4">
        <f>E8+F8+G8</f>
        <v/>
      </c>
      <c r="I8" s="3">
        <f>IF(D8="PTI bảo lãnh","Bảo lãnh đủ",IF(D8="PTI bảo lãnh 1 phần","Bảo lãnh một phần",IF(D8="PTI không bảo lãnh","Không bảo lãnh (KH đã TT)",IF(D8="PTI không bảo lãnh, Khách hàng chưa thanh toán","Không bảo lãnh (Chưa thu)",D8))))</f>
        <v/>
      </c>
    </row>
    <row r="9">
      <c r="A9" s="3" t="n">
        <v>6</v>
      </c>
      <c r="B9" s="3" t="inlineStr">
        <is>
          <t>BIển-006</t>
        </is>
      </c>
      <c r="C9" s="3" t="inlineStr">
        <is>
          <t>Cẩu kéo</t>
        </is>
      </c>
      <c r="D9" s="3" t="inlineStr">
        <is>
          <t>PTI bảo lãnh</t>
        </is>
      </c>
      <c r="E9" s="4" t="n">
        <v>1667154</v>
      </c>
      <c r="F9" s="4" t="n">
        <v>0</v>
      </c>
      <c r="G9" s="4" t="n">
        <v>0</v>
      </c>
      <c r="H9" s="4">
        <f>E9+F9+G9</f>
        <v/>
      </c>
      <c r="I9" s="3">
        <f>IF(D9="PTI bảo lãnh","Bảo lãnh đủ",IF(D9="PTI bảo lãnh 1 phần","Bảo lãnh một phần",IF(D9="PTI không bảo lãnh","Không bảo lãnh (KH đã TT)",IF(D9="PTI không bảo lãnh, Khách hàng chưa thanh toán","Không bảo lãnh (Chưa thu)",D9))))</f>
        <v/>
      </c>
    </row>
    <row r="10">
      <c r="A10" s="3" t="n">
        <v>7</v>
      </c>
      <c r="B10" s="3" t="inlineStr">
        <is>
          <t>BIển-007</t>
        </is>
      </c>
      <c r="C10" s="3" t="inlineStr">
        <is>
          <t>Cẩu kéo</t>
        </is>
      </c>
      <c r="D10" s="3" t="inlineStr">
        <is>
          <t>PTI bảo lãnh</t>
        </is>
      </c>
      <c r="E10" s="4" t="n">
        <v>1667154</v>
      </c>
      <c r="F10" s="4" t="n">
        <v>0</v>
      </c>
      <c r="G10" s="4" t="n">
        <v>0</v>
      </c>
      <c r="H10" s="4">
        <f>E10+F10+G10</f>
        <v/>
      </c>
      <c r="I10" s="3">
        <f>IF(D10="PTI bảo lãnh","Bảo lãnh đủ",IF(D10="PTI bảo lãnh 1 phần","Bảo lãnh một phần",IF(D10="PTI không bảo lãnh","Không bảo lãnh (KH đã TT)",IF(D10="PTI không bảo lãnh, Khách hàng chưa thanh toán","Không bảo lãnh (Chưa thu)",D10))))</f>
        <v/>
      </c>
    </row>
    <row r="11">
      <c r="A11" s="3" t="n">
        <v>8</v>
      </c>
      <c r="B11" s="3" t="inlineStr">
        <is>
          <t>BIển-008</t>
        </is>
      </c>
      <c r="C11" s="3" t="inlineStr">
        <is>
          <t>Cẩu kéo</t>
        </is>
      </c>
      <c r="D11" s="3" t="inlineStr">
        <is>
          <t>PTI bảo lãnh</t>
        </is>
      </c>
      <c r="E11" s="4" t="n">
        <v>1667154</v>
      </c>
      <c r="F11" s="4" t="n">
        <v>0</v>
      </c>
      <c r="G11" s="4" t="n">
        <v>0</v>
      </c>
      <c r="H11" s="4">
        <f>E11+F11+G11</f>
        <v/>
      </c>
      <c r="I11" s="3">
        <f>IF(D11="PTI bảo lãnh","Bảo lãnh đủ",IF(D11="PTI bảo lãnh 1 phần","Bảo lãnh một phần",IF(D11="PTI không bảo lãnh","Không bảo lãnh (KH đã TT)",IF(D11="PTI không bảo lãnh, Khách hàng chưa thanh toán","Không bảo lãnh (Chưa thu)",D11))))</f>
        <v/>
      </c>
    </row>
    <row r="12">
      <c r="A12" s="3" t="n">
        <v>9</v>
      </c>
      <c r="B12" s="3" t="inlineStr">
        <is>
          <t>BIển-009</t>
        </is>
      </c>
      <c r="C12" s="3" t="inlineStr">
        <is>
          <t>Cẩu kéo</t>
        </is>
      </c>
      <c r="D12" s="3" t="inlineStr">
        <is>
          <t>PTI bảo lãnh</t>
        </is>
      </c>
      <c r="E12" s="4" t="n">
        <v>1667154</v>
      </c>
      <c r="F12" s="4" t="n">
        <v>0</v>
      </c>
      <c r="G12" s="4" t="n">
        <v>0</v>
      </c>
      <c r="H12" s="4">
        <f>E12+F12+G12</f>
        <v/>
      </c>
      <c r="I12" s="3">
        <f>IF(D12="PTI bảo lãnh","Bảo lãnh đủ",IF(D12="PTI bảo lãnh 1 phần","Bảo lãnh một phần",IF(D12="PTI không bảo lãnh","Không bảo lãnh (KH đã TT)",IF(D12="PTI không bảo lãnh, Khách hàng chưa thanh toán","Không bảo lãnh (Chưa thu)",D12))))</f>
        <v/>
      </c>
    </row>
    <row r="13">
      <c r="A13" s="3" t="n">
        <v>10</v>
      </c>
      <c r="B13" s="3" t="inlineStr">
        <is>
          <t>BIển-010</t>
        </is>
      </c>
      <c r="C13" s="3" t="inlineStr">
        <is>
          <t>Cẩu kéo</t>
        </is>
      </c>
      <c r="D13" s="3" t="inlineStr">
        <is>
          <t>PTI bảo lãnh</t>
        </is>
      </c>
      <c r="E13" s="4" t="n">
        <v>1667154</v>
      </c>
      <c r="F13" s="4" t="n">
        <v>0</v>
      </c>
      <c r="G13" s="4" t="n">
        <v>0</v>
      </c>
      <c r="H13" s="4">
        <f>E13+F13+G13</f>
        <v/>
      </c>
      <c r="I13" s="3">
        <f>IF(D13="PTI bảo lãnh","Bảo lãnh đủ",IF(D13="PTI bảo lãnh 1 phần","Bảo lãnh một phần",IF(D13="PTI không bảo lãnh","Không bảo lãnh (KH đã TT)",IF(D13="PTI không bảo lãnh, Khách hàng chưa thanh toán","Không bảo lãnh (Chưa thu)",D13))))</f>
        <v/>
      </c>
    </row>
    <row r="14">
      <c r="A14" s="3" t="n">
        <v>11</v>
      </c>
      <c r="B14" s="3" t="inlineStr">
        <is>
          <t>BIển-011</t>
        </is>
      </c>
      <c r="C14" s="3" t="inlineStr">
        <is>
          <t>Cẩu kéo</t>
        </is>
      </c>
      <c r="D14" s="3" t="inlineStr">
        <is>
          <t>PTI bảo lãnh</t>
        </is>
      </c>
      <c r="E14" s="4" t="n">
        <v>1667154</v>
      </c>
      <c r="F14" s="4" t="n">
        <v>0</v>
      </c>
      <c r="G14" s="4" t="n">
        <v>0</v>
      </c>
      <c r="H14" s="4">
        <f>E14+F14+G14</f>
        <v/>
      </c>
      <c r="I14" s="3">
        <f>IF(D14="PTI bảo lãnh","Bảo lãnh đủ",IF(D14="PTI bảo lãnh 1 phần","Bảo lãnh một phần",IF(D14="PTI không bảo lãnh","Không bảo lãnh (KH đã TT)",IF(D14="PTI không bảo lãnh, Khách hàng chưa thanh toán","Không bảo lãnh (Chưa thu)",D14))))</f>
        <v/>
      </c>
    </row>
    <row r="15">
      <c r="A15" s="3" t="n">
        <v>12</v>
      </c>
      <c r="B15" s="3" t="inlineStr">
        <is>
          <t>BIển-012</t>
        </is>
      </c>
      <c r="C15" s="3" t="inlineStr">
        <is>
          <t>Cẩu kéo</t>
        </is>
      </c>
      <c r="D15" s="3" t="inlineStr">
        <is>
          <t>PTI bảo lãnh</t>
        </is>
      </c>
      <c r="E15" s="4" t="n">
        <v>1667154</v>
      </c>
      <c r="F15" s="4" t="n">
        <v>0</v>
      </c>
      <c r="G15" s="4" t="n">
        <v>0</v>
      </c>
      <c r="H15" s="4">
        <f>E15+F15+G15</f>
        <v/>
      </c>
      <c r="I15" s="3">
        <f>IF(D15="PTI bảo lãnh","Bảo lãnh đủ",IF(D15="PTI bảo lãnh 1 phần","Bảo lãnh một phần",IF(D15="PTI không bảo lãnh","Không bảo lãnh (KH đã TT)",IF(D15="PTI không bảo lãnh, Khách hàng chưa thanh toán","Không bảo lãnh (Chưa thu)",D15))))</f>
        <v/>
      </c>
    </row>
    <row r="16">
      <c r="A16" s="3" t="n">
        <v>13</v>
      </c>
      <c r="B16" s="3" t="inlineStr">
        <is>
          <t>BIển-013</t>
        </is>
      </c>
      <c r="C16" s="3" t="inlineStr">
        <is>
          <t>Cẩu kéo</t>
        </is>
      </c>
      <c r="D16" s="3" t="inlineStr">
        <is>
          <t>PTI bảo lãnh</t>
        </is>
      </c>
      <c r="E16" s="4" t="n">
        <v>1667154</v>
      </c>
      <c r="F16" s="4" t="n">
        <v>0</v>
      </c>
      <c r="G16" s="4" t="n">
        <v>0</v>
      </c>
      <c r="H16" s="4">
        <f>E16+F16+G16</f>
        <v/>
      </c>
      <c r="I16" s="3">
        <f>IF(D16="PTI bảo lãnh","Bảo lãnh đủ",IF(D16="PTI bảo lãnh 1 phần","Bảo lãnh một phần",IF(D16="PTI không bảo lãnh","Không bảo lãnh (KH đã TT)",IF(D16="PTI không bảo lãnh, Khách hàng chưa thanh toán","Không bảo lãnh (Chưa thu)",D16))))</f>
        <v/>
      </c>
    </row>
    <row r="17">
      <c r="A17" s="3" t="n">
        <v>14</v>
      </c>
      <c r="B17" s="3" t="inlineStr">
        <is>
          <t>BIển-014</t>
        </is>
      </c>
      <c r="C17" s="3" t="inlineStr">
        <is>
          <t>Cẩu kéo</t>
        </is>
      </c>
      <c r="D17" s="3" t="inlineStr">
        <is>
          <t>PTI bảo lãnh</t>
        </is>
      </c>
      <c r="E17" s="4" t="n">
        <v>1667154</v>
      </c>
      <c r="F17" s="4" t="n">
        <v>0</v>
      </c>
      <c r="G17" s="4" t="n">
        <v>0</v>
      </c>
      <c r="H17" s="4">
        <f>E17+F17+G17</f>
        <v/>
      </c>
      <c r="I17" s="3">
        <f>IF(D17="PTI bảo lãnh","Bảo lãnh đủ",IF(D17="PTI bảo lãnh 1 phần","Bảo lãnh một phần",IF(D17="PTI không bảo lãnh","Không bảo lãnh (KH đã TT)",IF(D17="PTI không bảo lãnh, Khách hàng chưa thanh toán","Không bảo lãnh (Chưa thu)",D17))))</f>
        <v/>
      </c>
    </row>
    <row r="18">
      <c r="A18" s="3" t="n">
        <v>15</v>
      </c>
      <c r="B18" s="3" t="inlineStr">
        <is>
          <t>BIển-015</t>
        </is>
      </c>
      <c r="C18" s="3" t="inlineStr">
        <is>
          <t>Cẩu kéo</t>
        </is>
      </c>
      <c r="D18" s="3" t="inlineStr">
        <is>
          <t>PTI bảo lãnh</t>
        </is>
      </c>
      <c r="E18" s="4" t="n">
        <v>1667154</v>
      </c>
      <c r="F18" s="4" t="n">
        <v>0</v>
      </c>
      <c r="G18" s="4" t="n">
        <v>0</v>
      </c>
      <c r="H18" s="4">
        <f>E18+F18+G18</f>
        <v/>
      </c>
      <c r="I18" s="3">
        <f>IF(D18="PTI bảo lãnh","Bảo lãnh đủ",IF(D18="PTI bảo lãnh 1 phần","Bảo lãnh một phần",IF(D18="PTI không bảo lãnh","Không bảo lãnh (KH đã TT)",IF(D18="PTI không bảo lãnh, Khách hàng chưa thanh toán","Không bảo lãnh (Chưa thu)",D18))))</f>
        <v/>
      </c>
    </row>
    <row r="19">
      <c r="A19" s="3" t="n">
        <v>16</v>
      </c>
      <c r="B19" s="3" t="inlineStr">
        <is>
          <t>BIển-016</t>
        </is>
      </c>
      <c r="C19" s="3" t="inlineStr">
        <is>
          <t>Cẩu kéo</t>
        </is>
      </c>
      <c r="D19" s="3" t="inlineStr">
        <is>
          <t>PTI bảo lãnh</t>
        </is>
      </c>
      <c r="E19" s="4" t="n">
        <v>1667154</v>
      </c>
      <c r="F19" s="4" t="n">
        <v>0</v>
      </c>
      <c r="G19" s="4" t="n">
        <v>0</v>
      </c>
      <c r="H19" s="4">
        <f>E19+F19+G19</f>
        <v/>
      </c>
      <c r="I19" s="3">
        <f>IF(D19="PTI bảo lãnh","Bảo lãnh đủ",IF(D19="PTI bảo lãnh 1 phần","Bảo lãnh một phần",IF(D19="PTI không bảo lãnh","Không bảo lãnh (KH đã TT)",IF(D19="PTI không bảo lãnh, Khách hàng chưa thanh toán","Không bảo lãnh (Chưa thu)",D19))))</f>
        <v/>
      </c>
    </row>
    <row r="20">
      <c r="A20" s="3" t="n">
        <v>17</v>
      </c>
      <c r="B20" s="3" t="inlineStr">
        <is>
          <t>BIển-017</t>
        </is>
      </c>
      <c r="C20" s="3" t="inlineStr">
        <is>
          <t>Cẩu kéo</t>
        </is>
      </c>
      <c r="D20" s="3" t="inlineStr">
        <is>
          <t>PTI bảo lãnh</t>
        </is>
      </c>
      <c r="E20" s="4" t="n">
        <v>1667154</v>
      </c>
      <c r="F20" s="4" t="n">
        <v>0</v>
      </c>
      <c r="G20" s="4" t="n">
        <v>0</v>
      </c>
      <c r="H20" s="4">
        <f>E20+F20+G20</f>
        <v/>
      </c>
      <c r="I20" s="3">
        <f>IF(D20="PTI bảo lãnh","Bảo lãnh đủ",IF(D20="PTI bảo lãnh 1 phần","Bảo lãnh một phần",IF(D20="PTI không bảo lãnh","Không bảo lãnh (KH đã TT)",IF(D20="PTI không bảo lãnh, Khách hàng chưa thanh toán","Không bảo lãnh (Chưa thu)",D20))))</f>
        <v/>
      </c>
    </row>
    <row r="21">
      <c r="A21" s="3" t="n">
        <v>18</v>
      </c>
      <c r="B21" s="3" t="inlineStr">
        <is>
          <t>BIển-018</t>
        </is>
      </c>
      <c r="C21" s="3" t="inlineStr">
        <is>
          <t>Cẩu kéo</t>
        </is>
      </c>
      <c r="D21" s="3" t="inlineStr">
        <is>
          <t>PTI bảo lãnh</t>
        </is>
      </c>
      <c r="E21" s="4" t="n">
        <v>1667154</v>
      </c>
      <c r="F21" s="4" t="n">
        <v>0</v>
      </c>
      <c r="G21" s="4" t="n">
        <v>0</v>
      </c>
      <c r="H21" s="4">
        <f>E21+F21+G21</f>
        <v/>
      </c>
      <c r="I21" s="3">
        <f>IF(D21="PTI bảo lãnh","Bảo lãnh đủ",IF(D21="PTI bảo lãnh 1 phần","Bảo lãnh một phần",IF(D21="PTI không bảo lãnh","Không bảo lãnh (KH đã TT)",IF(D21="PTI không bảo lãnh, Khách hàng chưa thanh toán","Không bảo lãnh (Chưa thu)",D21))))</f>
        <v/>
      </c>
    </row>
    <row r="22">
      <c r="A22" s="3" t="n">
        <v>19</v>
      </c>
      <c r="B22" s="3" t="inlineStr">
        <is>
          <t>BIển-019</t>
        </is>
      </c>
      <c r="C22" s="3" t="inlineStr">
        <is>
          <t>Cẩu kéo</t>
        </is>
      </c>
      <c r="D22" s="3" t="inlineStr">
        <is>
          <t>PTI bảo lãnh</t>
        </is>
      </c>
      <c r="E22" s="4" t="n">
        <v>1667154</v>
      </c>
      <c r="F22" s="4" t="n">
        <v>0</v>
      </c>
      <c r="G22" s="4" t="n">
        <v>0</v>
      </c>
      <c r="H22" s="4">
        <f>E22+F22+G22</f>
        <v/>
      </c>
      <c r="I22" s="3">
        <f>IF(D22="PTI bảo lãnh","Bảo lãnh đủ",IF(D22="PTI bảo lãnh 1 phần","Bảo lãnh một phần",IF(D22="PTI không bảo lãnh","Không bảo lãnh (KH đã TT)",IF(D22="PTI không bảo lãnh, Khách hàng chưa thanh toán","Không bảo lãnh (Chưa thu)",D22))))</f>
        <v/>
      </c>
    </row>
    <row r="23">
      <c r="A23" s="3" t="n">
        <v>20</v>
      </c>
      <c r="B23" s="3" t="inlineStr">
        <is>
          <t>BIển-020</t>
        </is>
      </c>
      <c r="C23" s="3" t="inlineStr">
        <is>
          <t>Cẩu kéo</t>
        </is>
      </c>
      <c r="D23" s="3" t="inlineStr">
        <is>
          <t>PTI bảo lãnh</t>
        </is>
      </c>
      <c r="E23" s="4" t="n">
        <v>1667154</v>
      </c>
      <c r="F23" s="4" t="n">
        <v>0</v>
      </c>
      <c r="G23" s="4" t="n">
        <v>0</v>
      </c>
      <c r="H23" s="4">
        <f>E23+F23+G23</f>
        <v/>
      </c>
      <c r="I23" s="3">
        <f>IF(D23="PTI bảo lãnh","Bảo lãnh đủ",IF(D23="PTI bảo lãnh 1 phần","Bảo lãnh một phần",IF(D23="PTI không bảo lãnh","Không bảo lãnh (KH đã TT)",IF(D23="PTI không bảo lãnh, Khách hàng chưa thanh toán","Không bảo lãnh (Chưa thu)",D23))))</f>
        <v/>
      </c>
    </row>
    <row r="24">
      <c r="A24" s="3" t="n">
        <v>21</v>
      </c>
      <c r="B24" s="3" t="inlineStr">
        <is>
          <t>BIển-021</t>
        </is>
      </c>
      <c r="C24" s="3" t="inlineStr">
        <is>
          <t>Cẩu kéo</t>
        </is>
      </c>
      <c r="D24" s="3" t="inlineStr">
        <is>
          <t>PTI bảo lãnh</t>
        </is>
      </c>
      <c r="E24" s="4" t="n">
        <v>1667154</v>
      </c>
      <c r="F24" s="4" t="n">
        <v>0</v>
      </c>
      <c r="G24" s="4" t="n">
        <v>0</v>
      </c>
      <c r="H24" s="4">
        <f>E24+F24+G24</f>
        <v/>
      </c>
      <c r="I24" s="3">
        <f>IF(D24="PTI bảo lãnh","Bảo lãnh đủ",IF(D24="PTI bảo lãnh 1 phần","Bảo lãnh một phần",IF(D24="PTI không bảo lãnh","Không bảo lãnh (KH đã TT)",IF(D24="PTI không bảo lãnh, Khách hàng chưa thanh toán","Không bảo lãnh (Chưa thu)",D24))))</f>
        <v/>
      </c>
    </row>
    <row r="25">
      <c r="A25" s="3" t="n">
        <v>22</v>
      </c>
      <c r="B25" s="3" t="inlineStr">
        <is>
          <t>BIển-022</t>
        </is>
      </c>
      <c r="C25" s="3" t="inlineStr">
        <is>
          <t>Cẩu kéo</t>
        </is>
      </c>
      <c r="D25" s="3" t="inlineStr">
        <is>
          <t>PTI bảo lãnh</t>
        </is>
      </c>
      <c r="E25" s="4" t="n">
        <v>1667154</v>
      </c>
      <c r="F25" s="4" t="n">
        <v>0</v>
      </c>
      <c r="G25" s="4" t="n">
        <v>0</v>
      </c>
      <c r="H25" s="4">
        <f>E25+F25+G25</f>
        <v/>
      </c>
      <c r="I25" s="3">
        <f>IF(D25="PTI bảo lãnh","Bảo lãnh đủ",IF(D25="PTI bảo lãnh 1 phần","Bảo lãnh một phần",IF(D25="PTI không bảo lãnh","Không bảo lãnh (KH đã TT)",IF(D25="PTI không bảo lãnh, Khách hàng chưa thanh toán","Không bảo lãnh (Chưa thu)",D25))))</f>
        <v/>
      </c>
    </row>
    <row r="26">
      <c r="A26" s="3" t="n">
        <v>23</v>
      </c>
      <c r="B26" s="3" t="inlineStr">
        <is>
          <t>BIển-023</t>
        </is>
      </c>
      <c r="C26" s="3" t="inlineStr">
        <is>
          <t>Cẩu kéo</t>
        </is>
      </c>
      <c r="D26" s="3" t="inlineStr">
        <is>
          <t>PTI bảo lãnh</t>
        </is>
      </c>
      <c r="E26" s="4" t="n">
        <v>1667154</v>
      </c>
      <c r="F26" s="4" t="n">
        <v>0</v>
      </c>
      <c r="G26" s="4" t="n">
        <v>0</v>
      </c>
      <c r="H26" s="4">
        <f>E26+F26+G26</f>
        <v/>
      </c>
      <c r="I26" s="3">
        <f>IF(D26="PTI bảo lãnh","Bảo lãnh đủ",IF(D26="PTI bảo lãnh 1 phần","Bảo lãnh một phần",IF(D26="PTI không bảo lãnh","Không bảo lãnh (KH đã TT)",IF(D26="PTI không bảo lãnh, Khách hàng chưa thanh toán","Không bảo lãnh (Chưa thu)",D26))))</f>
        <v/>
      </c>
    </row>
    <row r="27">
      <c r="A27" s="3" t="n">
        <v>24</v>
      </c>
      <c r="B27" s="3" t="inlineStr">
        <is>
          <t>BIển-024</t>
        </is>
      </c>
      <c r="C27" s="3" t="inlineStr">
        <is>
          <t>Cẩu kéo</t>
        </is>
      </c>
      <c r="D27" s="3" t="inlineStr">
        <is>
          <t>PTI bảo lãnh</t>
        </is>
      </c>
      <c r="E27" s="4" t="n">
        <v>1667154</v>
      </c>
      <c r="F27" s="4" t="n">
        <v>0</v>
      </c>
      <c r="G27" s="4" t="n">
        <v>0</v>
      </c>
      <c r="H27" s="4">
        <f>E27+F27+G27</f>
        <v/>
      </c>
      <c r="I27" s="3">
        <f>IF(D27="PTI bảo lãnh","Bảo lãnh đủ",IF(D27="PTI bảo lãnh 1 phần","Bảo lãnh một phần",IF(D27="PTI không bảo lãnh","Không bảo lãnh (KH đã TT)",IF(D27="PTI không bảo lãnh, Khách hàng chưa thanh toán","Không bảo lãnh (Chưa thu)",D27))))</f>
        <v/>
      </c>
    </row>
    <row r="28">
      <c r="A28" s="3" t="n">
        <v>25</v>
      </c>
      <c r="B28" s="3" t="inlineStr">
        <is>
          <t>BIển-025</t>
        </is>
      </c>
      <c r="C28" s="3" t="inlineStr">
        <is>
          <t>Cẩu kéo</t>
        </is>
      </c>
      <c r="D28" s="3" t="inlineStr">
        <is>
          <t>PTI bảo lãnh</t>
        </is>
      </c>
      <c r="E28" s="4" t="n">
        <v>1667154</v>
      </c>
      <c r="F28" s="4" t="n">
        <v>0</v>
      </c>
      <c r="G28" s="4" t="n">
        <v>0</v>
      </c>
      <c r="H28" s="4">
        <f>E28+F28+G28</f>
        <v/>
      </c>
      <c r="I28" s="3">
        <f>IF(D28="PTI bảo lãnh","Bảo lãnh đủ",IF(D28="PTI bảo lãnh 1 phần","Bảo lãnh một phần",IF(D28="PTI không bảo lãnh","Không bảo lãnh (KH đã TT)",IF(D28="PTI không bảo lãnh, Khách hàng chưa thanh toán","Không bảo lãnh (Chưa thu)",D28))))</f>
        <v/>
      </c>
    </row>
    <row r="29">
      <c r="A29" s="3" t="n">
        <v>26</v>
      </c>
      <c r="B29" s="3" t="inlineStr">
        <is>
          <t>BIển-026</t>
        </is>
      </c>
      <c r="C29" s="3" t="inlineStr">
        <is>
          <t>Cẩu kéo</t>
        </is>
      </c>
      <c r="D29" s="3" t="inlineStr">
        <is>
          <t>PTI bảo lãnh</t>
        </is>
      </c>
      <c r="E29" s="4" t="n">
        <v>1667154</v>
      </c>
      <c r="F29" s="4" t="n">
        <v>0</v>
      </c>
      <c r="G29" s="4" t="n">
        <v>0</v>
      </c>
      <c r="H29" s="4">
        <f>E29+F29+G29</f>
        <v/>
      </c>
      <c r="I29" s="3">
        <f>IF(D29="PTI bảo lãnh","Bảo lãnh đủ",IF(D29="PTI bảo lãnh 1 phần","Bảo lãnh một phần",IF(D29="PTI không bảo lãnh","Không bảo lãnh (KH đã TT)",IF(D29="PTI không bảo lãnh, Khách hàng chưa thanh toán","Không bảo lãnh (Chưa thu)",D29))))</f>
        <v/>
      </c>
    </row>
    <row r="30">
      <c r="A30" s="3" t="n">
        <v>27</v>
      </c>
      <c r="B30" s="3" t="inlineStr">
        <is>
          <t>BIển-027</t>
        </is>
      </c>
      <c r="C30" s="3" t="inlineStr">
        <is>
          <t>Cẩu kéo</t>
        </is>
      </c>
      <c r="D30" s="3" t="inlineStr">
        <is>
          <t>PTI bảo lãnh</t>
        </is>
      </c>
      <c r="E30" s="4" t="n">
        <v>1667154</v>
      </c>
      <c r="F30" s="4" t="n">
        <v>0</v>
      </c>
      <c r="G30" s="4" t="n">
        <v>0</v>
      </c>
      <c r="H30" s="4">
        <f>E30+F30+G30</f>
        <v/>
      </c>
      <c r="I30" s="3">
        <f>IF(D30="PTI bảo lãnh","Bảo lãnh đủ",IF(D30="PTI bảo lãnh 1 phần","Bảo lãnh một phần",IF(D30="PTI không bảo lãnh","Không bảo lãnh (KH đã TT)",IF(D30="PTI không bảo lãnh, Khách hàng chưa thanh toán","Không bảo lãnh (Chưa thu)",D30))))</f>
        <v/>
      </c>
    </row>
    <row r="31">
      <c r="A31" s="3" t="n">
        <v>28</v>
      </c>
      <c r="B31" s="3" t="inlineStr">
        <is>
          <t>BIển-028</t>
        </is>
      </c>
      <c r="C31" s="3" t="inlineStr">
        <is>
          <t>Cẩu kéo</t>
        </is>
      </c>
      <c r="D31" s="3" t="inlineStr">
        <is>
          <t>PTI bảo lãnh</t>
        </is>
      </c>
      <c r="E31" s="4" t="n">
        <v>1667154</v>
      </c>
      <c r="F31" s="4" t="n">
        <v>0</v>
      </c>
      <c r="G31" s="4" t="n">
        <v>0</v>
      </c>
      <c r="H31" s="4">
        <f>E31+F31+G31</f>
        <v/>
      </c>
      <c r="I31" s="3">
        <f>IF(D31="PTI bảo lãnh","Bảo lãnh đủ",IF(D31="PTI bảo lãnh 1 phần","Bảo lãnh một phần",IF(D31="PTI không bảo lãnh","Không bảo lãnh (KH đã TT)",IF(D31="PTI không bảo lãnh, Khách hàng chưa thanh toán","Không bảo lãnh (Chưa thu)",D31))))</f>
        <v/>
      </c>
    </row>
    <row r="32">
      <c r="A32" s="3" t="n">
        <v>29</v>
      </c>
      <c r="B32" s="3" t="inlineStr">
        <is>
          <t>BIển-029</t>
        </is>
      </c>
      <c r="C32" s="3" t="inlineStr">
        <is>
          <t>Cẩu kéo</t>
        </is>
      </c>
      <c r="D32" s="3" t="inlineStr">
        <is>
          <t>PTI bảo lãnh</t>
        </is>
      </c>
      <c r="E32" s="4" t="n">
        <v>1667154</v>
      </c>
      <c r="F32" s="4" t="n">
        <v>0</v>
      </c>
      <c r="G32" s="4" t="n">
        <v>0</v>
      </c>
      <c r="H32" s="4">
        <f>E32+F32+G32</f>
        <v/>
      </c>
      <c r="I32" s="3">
        <f>IF(D32="PTI bảo lãnh","Bảo lãnh đủ",IF(D32="PTI bảo lãnh 1 phần","Bảo lãnh một phần",IF(D32="PTI không bảo lãnh","Không bảo lãnh (KH đã TT)",IF(D32="PTI không bảo lãnh, Khách hàng chưa thanh toán","Không bảo lãnh (Chưa thu)",D32))))</f>
        <v/>
      </c>
    </row>
    <row r="33">
      <c r="A33" s="3" t="n">
        <v>30</v>
      </c>
      <c r="B33" s="3" t="inlineStr">
        <is>
          <t>BIển-030</t>
        </is>
      </c>
      <c r="C33" s="3" t="inlineStr">
        <is>
          <t>Cẩu kéo</t>
        </is>
      </c>
      <c r="D33" s="3" t="inlineStr">
        <is>
          <t>PTI bảo lãnh</t>
        </is>
      </c>
      <c r="E33" s="4" t="n">
        <v>1667154</v>
      </c>
      <c r="F33" s="4" t="n">
        <v>0</v>
      </c>
      <c r="G33" s="4" t="n">
        <v>0</v>
      </c>
      <c r="H33" s="4">
        <f>E33+F33+G33</f>
        <v/>
      </c>
      <c r="I33" s="3">
        <f>IF(D33="PTI bảo lãnh","Bảo lãnh đủ",IF(D33="PTI bảo lãnh 1 phần","Bảo lãnh một phần",IF(D33="PTI không bảo lãnh","Không bảo lãnh (KH đã TT)",IF(D33="PTI không bảo lãnh, Khách hàng chưa thanh toán","Không bảo lãnh (Chưa thu)",D33))))</f>
        <v/>
      </c>
    </row>
    <row r="34">
      <c r="A34" s="3" t="n">
        <v>31</v>
      </c>
      <c r="B34" s="3" t="inlineStr">
        <is>
          <t>BIển-031</t>
        </is>
      </c>
      <c r="C34" s="3" t="inlineStr">
        <is>
          <t>Cẩu kéo</t>
        </is>
      </c>
      <c r="D34" s="3" t="inlineStr">
        <is>
          <t>PTI bảo lãnh</t>
        </is>
      </c>
      <c r="E34" s="4" t="n">
        <v>1667154</v>
      </c>
      <c r="F34" s="4" t="n">
        <v>0</v>
      </c>
      <c r="G34" s="4" t="n">
        <v>0</v>
      </c>
      <c r="H34" s="4">
        <f>E34+F34+G34</f>
        <v/>
      </c>
      <c r="I34" s="3">
        <f>IF(D34="PTI bảo lãnh","Bảo lãnh đủ",IF(D34="PTI bảo lãnh 1 phần","Bảo lãnh một phần",IF(D34="PTI không bảo lãnh","Không bảo lãnh (KH đã TT)",IF(D34="PTI không bảo lãnh, Khách hàng chưa thanh toán","Không bảo lãnh (Chưa thu)",D34))))</f>
        <v/>
      </c>
    </row>
    <row r="35">
      <c r="A35" s="3" t="n">
        <v>32</v>
      </c>
      <c r="B35" s="3" t="inlineStr">
        <is>
          <t>BIển-032</t>
        </is>
      </c>
      <c r="C35" s="3" t="inlineStr">
        <is>
          <t>Cẩu kéo</t>
        </is>
      </c>
      <c r="D35" s="3" t="inlineStr">
        <is>
          <t>PTI bảo lãnh</t>
        </is>
      </c>
      <c r="E35" s="4" t="n">
        <v>1667154</v>
      </c>
      <c r="F35" s="4" t="n">
        <v>0</v>
      </c>
      <c r="G35" s="4" t="n">
        <v>0</v>
      </c>
      <c r="H35" s="4">
        <f>E35+F35+G35</f>
        <v/>
      </c>
      <c r="I35" s="3">
        <f>IF(D35="PTI bảo lãnh","Bảo lãnh đủ",IF(D35="PTI bảo lãnh 1 phần","Bảo lãnh một phần",IF(D35="PTI không bảo lãnh","Không bảo lãnh (KH đã TT)",IF(D35="PTI không bảo lãnh, Khách hàng chưa thanh toán","Không bảo lãnh (Chưa thu)",D35))))</f>
        <v/>
      </c>
    </row>
    <row r="36">
      <c r="A36" s="3" t="n">
        <v>33</v>
      </c>
      <c r="B36" s="3" t="inlineStr">
        <is>
          <t>BIển-033</t>
        </is>
      </c>
      <c r="C36" s="3" t="inlineStr">
        <is>
          <t>Cẩu kéo</t>
        </is>
      </c>
      <c r="D36" s="3" t="inlineStr">
        <is>
          <t>PTI bảo lãnh</t>
        </is>
      </c>
      <c r="E36" s="4" t="n">
        <v>1667154</v>
      </c>
      <c r="F36" s="4" t="n">
        <v>0</v>
      </c>
      <c r="G36" s="4" t="n">
        <v>0</v>
      </c>
      <c r="H36" s="4">
        <f>E36+F36+G36</f>
        <v/>
      </c>
      <c r="I36" s="3">
        <f>IF(D36="PTI bảo lãnh","Bảo lãnh đủ",IF(D36="PTI bảo lãnh 1 phần","Bảo lãnh một phần",IF(D36="PTI không bảo lãnh","Không bảo lãnh (KH đã TT)",IF(D36="PTI không bảo lãnh, Khách hàng chưa thanh toán","Không bảo lãnh (Chưa thu)",D36))))</f>
        <v/>
      </c>
    </row>
    <row r="37">
      <c r="A37" s="3" t="n">
        <v>34</v>
      </c>
      <c r="B37" s="3" t="inlineStr">
        <is>
          <t>BIển-034</t>
        </is>
      </c>
      <c r="C37" s="3" t="inlineStr">
        <is>
          <t>Cẩu kéo</t>
        </is>
      </c>
      <c r="D37" s="3" t="inlineStr">
        <is>
          <t>PTI bảo lãnh</t>
        </is>
      </c>
      <c r="E37" s="4" t="n">
        <v>1667154</v>
      </c>
      <c r="F37" s="4" t="n">
        <v>0</v>
      </c>
      <c r="G37" s="4" t="n">
        <v>0</v>
      </c>
      <c r="H37" s="4">
        <f>E37+F37+G37</f>
        <v/>
      </c>
      <c r="I37" s="3">
        <f>IF(D37="PTI bảo lãnh","Bảo lãnh đủ",IF(D37="PTI bảo lãnh 1 phần","Bảo lãnh một phần",IF(D37="PTI không bảo lãnh","Không bảo lãnh (KH đã TT)",IF(D37="PTI không bảo lãnh, Khách hàng chưa thanh toán","Không bảo lãnh (Chưa thu)",D37))))</f>
        <v/>
      </c>
    </row>
    <row r="38">
      <c r="A38" s="3" t="n">
        <v>35</v>
      </c>
      <c r="B38" s="3" t="inlineStr">
        <is>
          <t>BIển-035</t>
        </is>
      </c>
      <c r="C38" s="3" t="inlineStr">
        <is>
          <t>Cẩu kéo</t>
        </is>
      </c>
      <c r="D38" s="3" t="inlineStr">
        <is>
          <t>PTI bảo lãnh</t>
        </is>
      </c>
      <c r="E38" s="4" t="n">
        <v>1667154</v>
      </c>
      <c r="F38" s="4" t="n">
        <v>0</v>
      </c>
      <c r="G38" s="4" t="n">
        <v>0</v>
      </c>
      <c r="H38" s="4">
        <f>E38+F38+G38</f>
        <v/>
      </c>
      <c r="I38" s="3">
        <f>IF(D38="PTI bảo lãnh","Bảo lãnh đủ",IF(D38="PTI bảo lãnh 1 phần","Bảo lãnh một phần",IF(D38="PTI không bảo lãnh","Không bảo lãnh (KH đã TT)",IF(D38="PTI không bảo lãnh, Khách hàng chưa thanh toán","Không bảo lãnh (Chưa thu)",D38))))</f>
        <v/>
      </c>
    </row>
    <row r="39">
      <c r="A39" s="3" t="n">
        <v>36</v>
      </c>
      <c r="B39" s="3" t="inlineStr">
        <is>
          <t>BIển-036</t>
        </is>
      </c>
      <c r="C39" s="3" t="inlineStr">
        <is>
          <t>Cẩu kéo</t>
        </is>
      </c>
      <c r="D39" s="3" t="inlineStr">
        <is>
          <t>PTI bảo lãnh</t>
        </is>
      </c>
      <c r="E39" s="4" t="n">
        <v>1667154</v>
      </c>
      <c r="F39" s="4" t="n">
        <v>0</v>
      </c>
      <c r="G39" s="4" t="n">
        <v>0</v>
      </c>
      <c r="H39" s="4">
        <f>E39+F39+G39</f>
        <v/>
      </c>
      <c r="I39" s="3">
        <f>IF(D39="PTI bảo lãnh","Bảo lãnh đủ",IF(D39="PTI bảo lãnh 1 phần","Bảo lãnh một phần",IF(D39="PTI không bảo lãnh","Không bảo lãnh (KH đã TT)",IF(D39="PTI không bảo lãnh, Khách hàng chưa thanh toán","Không bảo lãnh (Chưa thu)",D39))))</f>
        <v/>
      </c>
    </row>
    <row r="40">
      <c r="A40" s="3" t="n">
        <v>37</v>
      </c>
      <c r="B40" s="3" t="inlineStr">
        <is>
          <t>BIển-037</t>
        </is>
      </c>
      <c r="C40" s="3" t="inlineStr">
        <is>
          <t>Cẩu kéo</t>
        </is>
      </c>
      <c r="D40" s="3" t="inlineStr">
        <is>
          <t>PTI bảo lãnh</t>
        </is>
      </c>
      <c r="E40" s="4" t="n">
        <v>1667154</v>
      </c>
      <c r="F40" s="4" t="n">
        <v>0</v>
      </c>
      <c r="G40" s="4" t="n">
        <v>0</v>
      </c>
      <c r="H40" s="4">
        <f>E40+F40+G40</f>
        <v/>
      </c>
      <c r="I40" s="3">
        <f>IF(D40="PTI bảo lãnh","Bảo lãnh đủ",IF(D40="PTI bảo lãnh 1 phần","Bảo lãnh một phần",IF(D40="PTI không bảo lãnh","Không bảo lãnh (KH đã TT)",IF(D40="PTI không bảo lãnh, Khách hàng chưa thanh toán","Không bảo lãnh (Chưa thu)",D40))))</f>
        <v/>
      </c>
    </row>
    <row r="41">
      <c r="A41" s="3" t="n">
        <v>38</v>
      </c>
      <c r="B41" s="3" t="inlineStr">
        <is>
          <t>BIển-038</t>
        </is>
      </c>
      <c r="C41" s="3" t="inlineStr">
        <is>
          <t>Cẩu kéo</t>
        </is>
      </c>
      <c r="D41" s="3" t="inlineStr">
        <is>
          <t>PTI bảo lãnh</t>
        </is>
      </c>
      <c r="E41" s="4" t="n">
        <v>1667154</v>
      </c>
      <c r="F41" s="4" t="n">
        <v>0</v>
      </c>
      <c r="G41" s="4" t="n">
        <v>0</v>
      </c>
      <c r="H41" s="4">
        <f>E41+F41+G41</f>
        <v/>
      </c>
      <c r="I41" s="3">
        <f>IF(D41="PTI bảo lãnh","Bảo lãnh đủ",IF(D41="PTI bảo lãnh 1 phần","Bảo lãnh một phần",IF(D41="PTI không bảo lãnh","Không bảo lãnh (KH đã TT)",IF(D41="PTI không bảo lãnh, Khách hàng chưa thanh toán","Không bảo lãnh (Chưa thu)",D41))))</f>
        <v/>
      </c>
    </row>
    <row r="42">
      <c r="A42" s="3" t="n">
        <v>39</v>
      </c>
      <c r="B42" s="3" t="inlineStr">
        <is>
          <t>BIển-039</t>
        </is>
      </c>
      <c r="C42" s="3" t="inlineStr">
        <is>
          <t>Cẩu kéo</t>
        </is>
      </c>
      <c r="D42" s="3" t="inlineStr">
        <is>
          <t>PTI bảo lãnh</t>
        </is>
      </c>
      <c r="E42" s="4" t="n">
        <v>1667154</v>
      </c>
      <c r="F42" s="4" t="n">
        <v>0</v>
      </c>
      <c r="G42" s="4" t="n">
        <v>0</v>
      </c>
      <c r="H42" s="4">
        <f>E42+F42+G42</f>
        <v/>
      </c>
      <c r="I42" s="3">
        <f>IF(D42="PTI bảo lãnh","Bảo lãnh đủ",IF(D42="PTI bảo lãnh 1 phần","Bảo lãnh một phần",IF(D42="PTI không bảo lãnh","Không bảo lãnh (KH đã TT)",IF(D42="PTI không bảo lãnh, Khách hàng chưa thanh toán","Không bảo lãnh (Chưa thu)",D42))))</f>
        <v/>
      </c>
    </row>
    <row r="43">
      <c r="A43" s="3" t="n">
        <v>40</v>
      </c>
      <c r="B43" s="3" t="inlineStr">
        <is>
          <t>BIển-040</t>
        </is>
      </c>
      <c r="C43" s="3" t="inlineStr">
        <is>
          <t>Cẩu kéo</t>
        </is>
      </c>
      <c r="D43" s="3" t="inlineStr">
        <is>
          <t>PTI bảo lãnh</t>
        </is>
      </c>
      <c r="E43" s="4" t="n">
        <v>1667154</v>
      </c>
      <c r="F43" s="4" t="n">
        <v>0</v>
      </c>
      <c r="G43" s="4" t="n">
        <v>0</v>
      </c>
      <c r="H43" s="4">
        <f>E43+F43+G43</f>
        <v/>
      </c>
      <c r="I43" s="3">
        <f>IF(D43="PTI bảo lãnh","Bảo lãnh đủ",IF(D43="PTI bảo lãnh 1 phần","Bảo lãnh một phần",IF(D43="PTI không bảo lãnh","Không bảo lãnh (KH đã TT)",IF(D43="PTI không bảo lãnh, Khách hàng chưa thanh toán","Không bảo lãnh (Chưa thu)",D43))))</f>
        <v/>
      </c>
    </row>
    <row r="44">
      <c r="A44" s="3" t="n">
        <v>41</v>
      </c>
      <c r="B44" s="3" t="inlineStr">
        <is>
          <t>BIển-041</t>
        </is>
      </c>
      <c r="C44" s="3" t="inlineStr">
        <is>
          <t>Cẩu kéo</t>
        </is>
      </c>
      <c r="D44" s="3" t="inlineStr">
        <is>
          <t>PTI bảo lãnh</t>
        </is>
      </c>
      <c r="E44" s="4" t="n">
        <v>1667154</v>
      </c>
      <c r="F44" s="4" t="n">
        <v>0</v>
      </c>
      <c r="G44" s="4" t="n">
        <v>0</v>
      </c>
      <c r="H44" s="4">
        <f>E44+F44+G44</f>
        <v/>
      </c>
      <c r="I44" s="3">
        <f>IF(D44="PTI bảo lãnh","Bảo lãnh đủ",IF(D44="PTI bảo lãnh 1 phần","Bảo lãnh một phần",IF(D44="PTI không bảo lãnh","Không bảo lãnh (KH đã TT)",IF(D44="PTI không bảo lãnh, Khách hàng chưa thanh toán","Không bảo lãnh (Chưa thu)",D44))))</f>
        <v/>
      </c>
    </row>
    <row r="45">
      <c r="A45" s="3" t="n">
        <v>42</v>
      </c>
      <c r="B45" s="3" t="inlineStr">
        <is>
          <t>BIển-042</t>
        </is>
      </c>
      <c r="C45" s="3" t="inlineStr">
        <is>
          <t>Cẩu kéo</t>
        </is>
      </c>
      <c r="D45" s="3" t="inlineStr">
        <is>
          <t>PTI bảo lãnh</t>
        </is>
      </c>
      <c r="E45" s="4" t="n">
        <v>1667154</v>
      </c>
      <c r="F45" s="4" t="n">
        <v>0</v>
      </c>
      <c r="G45" s="4" t="n">
        <v>0</v>
      </c>
      <c r="H45" s="4">
        <f>E45+F45+G45</f>
        <v/>
      </c>
      <c r="I45" s="3">
        <f>IF(D45="PTI bảo lãnh","Bảo lãnh đủ",IF(D45="PTI bảo lãnh 1 phần","Bảo lãnh một phần",IF(D45="PTI không bảo lãnh","Không bảo lãnh (KH đã TT)",IF(D45="PTI không bảo lãnh, Khách hàng chưa thanh toán","Không bảo lãnh (Chưa thu)",D45))))</f>
        <v/>
      </c>
    </row>
    <row r="46">
      <c r="A46" s="3" t="n">
        <v>43</v>
      </c>
      <c r="B46" s="3" t="inlineStr">
        <is>
          <t>BIển-043</t>
        </is>
      </c>
      <c r="C46" s="3" t="inlineStr">
        <is>
          <t>Cẩu kéo</t>
        </is>
      </c>
      <c r="D46" s="3" t="inlineStr">
        <is>
          <t>PTI bảo lãnh</t>
        </is>
      </c>
      <c r="E46" s="4" t="n">
        <v>1667154</v>
      </c>
      <c r="F46" s="4" t="n">
        <v>0</v>
      </c>
      <c r="G46" s="4" t="n">
        <v>0</v>
      </c>
      <c r="H46" s="4">
        <f>E46+F46+G46</f>
        <v/>
      </c>
      <c r="I46" s="3">
        <f>IF(D46="PTI bảo lãnh","Bảo lãnh đủ",IF(D46="PTI bảo lãnh 1 phần","Bảo lãnh một phần",IF(D46="PTI không bảo lãnh","Không bảo lãnh (KH đã TT)",IF(D46="PTI không bảo lãnh, Khách hàng chưa thanh toán","Không bảo lãnh (Chưa thu)",D46))))</f>
        <v/>
      </c>
    </row>
    <row r="47">
      <c r="A47" s="3" t="n">
        <v>44</v>
      </c>
      <c r="B47" s="3" t="inlineStr">
        <is>
          <t>BIển-044</t>
        </is>
      </c>
      <c r="C47" s="3" t="inlineStr">
        <is>
          <t>Cẩu kéo</t>
        </is>
      </c>
      <c r="D47" s="3" t="inlineStr">
        <is>
          <t>PTI bảo lãnh</t>
        </is>
      </c>
      <c r="E47" s="4" t="n">
        <v>1667154</v>
      </c>
      <c r="F47" s="4" t="n">
        <v>0</v>
      </c>
      <c r="G47" s="4" t="n">
        <v>0</v>
      </c>
      <c r="H47" s="4">
        <f>E47+F47+G47</f>
        <v/>
      </c>
      <c r="I47" s="3">
        <f>IF(D47="PTI bảo lãnh","Bảo lãnh đủ",IF(D47="PTI bảo lãnh 1 phần","Bảo lãnh một phần",IF(D47="PTI không bảo lãnh","Không bảo lãnh (KH đã TT)",IF(D47="PTI không bảo lãnh, Khách hàng chưa thanh toán","Không bảo lãnh (Chưa thu)",D47))))</f>
        <v/>
      </c>
    </row>
    <row r="48">
      <c r="A48" s="3" t="n">
        <v>45</v>
      </c>
      <c r="B48" s="3" t="inlineStr">
        <is>
          <t>BIển-045</t>
        </is>
      </c>
      <c r="C48" s="3" t="inlineStr">
        <is>
          <t>Cẩu kéo</t>
        </is>
      </c>
      <c r="D48" s="3" t="inlineStr">
        <is>
          <t>PTI bảo lãnh</t>
        </is>
      </c>
      <c r="E48" s="4" t="n">
        <v>1667154</v>
      </c>
      <c r="F48" s="4" t="n">
        <v>0</v>
      </c>
      <c r="G48" s="4" t="n">
        <v>0</v>
      </c>
      <c r="H48" s="4">
        <f>E48+F48+G48</f>
        <v/>
      </c>
      <c r="I48" s="3">
        <f>IF(D48="PTI bảo lãnh","Bảo lãnh đủ",IF(D48="PTI bảo lãnh 1 phần","Bảo lãnh một phần",IF(D48="PTI không bảo lãnh","Không bảo lãnh (KH đã TT)",IF(D48="PTI không bảo lãnh, Khách hàng chưa thanh toán","Không bảo lãnh (Chưa thu)",D48))))</f>
        <v/>
      </c>
    </row>
    <row r="49">
      <c r="A49" s="3" t="n">
        <v>46</v>
      </c>
      <c r="B49" s="3" t="inlineStr">
        <is>
          <t>BIển-046</t>
        </is>
      </c>
      <c r="C49" s="3" t="inlineStr">
        <is>
          <t>Cẩu kéo</t>
        </is>
      </c>
      <c r="D49" s="3" t="inlineStr">
        <is>
          <t>PTI bảo lãnh</t>
        </is>
      </c>
      <c r="E49" s="4" t="n">
        <v>1667154</v>
      </c>
      <c r="F49" s="4" t="n">
        <v>0</v>
      </c>
      <c r="G49" s="4" t="n">
        <v>0</v>
      </c>
      <c r="H49" s="4">
        <f>E49+F49+G49</f>
        <v/>
      </c>
      <c r="I49" s="3">
        <f>IF(D49="PTI bảo lãnh","Bảo lãnh đủ",IF(D49="PTI bảo lãnh 1 phần","Bảo lãnh một phần",IF(D49="PTI không bảo lãnh","Không bảo lãnh (KH đã TT)",IF(D49="PTI không bảo lãnh, Khách hàng chưa thanh toán","Không bảo lãnh (Chưa thu)",D49))))</f>
        <v/>
      </c>
    </row>
    <row r="50">
      <c r="A50" s="3" t="n">
        <v>47</v>
      </c>
      <c r="B50" s="3" t="inlineStr">
        <is>
          <t>BIển-047</t>
        </is>
      </c>
      <c r="C50" s="3" t="inlineStr">
        <is>
          <t>Cẩu kéo</t>
        </is>
      </c>
      <c r="D50" s="3" t="inlineStr">
        <is>
          <t>PTI bảo lãnh</t>
        </is>
      </c>
      <c r="E50" s="4" t="n">
        <v>1667154</v>
      </c>
      <c r="F50" s="4" t="n">
        <v>0</v>
      </c>
      <c r="G50" s="4" t="n">
        <v>0</v>
      </c>
      <c r="H50" s="4">
        <f>E50+F50+G50</f>
        <v/>
      </c>
      <c r="I50" s="3">
        <f>IF(D50="PTI bảo lãnh","Bảo lãnh đủ",IF(D50="PTI bảo lãnh 1 phần","Bảo lãnh một phần",IF(D50="PTI không bảo lãnh","Không bảo lãnh (KH đã TT)",IF(D50="PTI không bảo lãnh, Khách hàng chưa thanh toán","Không bảo lãnh (Chưa thu)",D50))))</f>
        <v/>
      </c>
    </row>
    <row r="51">
      <c r="A51" s="3" t="n">
        <v>48</v>
      </c>
      <c r="B51" s="3" t="inlineStr">
        <is>
          <t>BIển-048</t>
        </is>
      </c>
      <c r="C51" s="3" t="inlineStr">
        <is>
          <t>Cẩu kéo</t>
        </is>
      </c>
      <c r="D51" s="3" t="inlineStr">
        <is>
          <t>PTI bảo lãnh</t>
        </is>
      </c>
      <c r="E51" s="4" t="n">
        <v>1667154</v>
      </c>
      <c r="F51" s="4" t="n">
        <v>0</v>
      </c>
      <c r="G51" s="4" t="n">
        <v>0</v>
      </c>
      <c r="H51" s="4">
        <f>E51+F51+G51</f>
        <v/>
      </c>
      <c r="I51" s="3">
        <f>IF(D51="PTI bảo lãnh","Bảo lãnh đủ",IF(D51="PTI bảo lãnh 1 phần","Bảo lãnh một phần",IF(D51="PTI không bảo lãnh","Không bảo lãnh (KH đã TT)",IF(D51="PTI không bảo lãnh, Khách hàng chưa thanh toán","Không bảo lãnh (Chưa thu)",D51))))</f>
        <v/>
      </c>
    </row>
    <row r="52">
      <c r="A52" s="3" t="n">
        <v>49</v>
      </c>
      <c r="B52" s="3" t="inlineStr">
        <is>
          <t>BIển-049</t>
        </is>
      </c>
      <c r="C52" s="3" t="inlineStr">
        <is>
          <t>Cẩu kéo</t>
        </is>
      </c>
      <c r="D52" s="3" t="inlineStr">
        <is>
          <t>PTI bảo lãnh</t>
        </is>
      </c>
      <c r="E52" s="4" t="n">
        <v>1667154</v>
      </c>
      <c r="F52" s="4" t="n">
        <v>0</v>
      </c>
      <c r="G52" s="4" t="n">
        <v>0</v>
      </c>
      <c r="H52" s="4">
        <f>E52+F52+G52</f>
        <v/>
      </c>
      <c r="I52" s="3">
        <f>IF(D52="PTI bảo lãnh","Bảo lãnh đủ",IF(D52="PTI bảo lãnh 1 phần","Bảo lãnh một phần",IF(D52="PTI không bảo lãnh","Không bảo lãnh (KH đã TT)",IF(D52="PTI không bảo lãnh, Khách hàng chưa thanh toán","Không bảo lãnh (Chưa thu)",D52))))</f>
        <v/>
      </c>
    </row>
    <row r="53">
      <c r="A53" s="3" t="n">
        <v>50</v>
      </c>
      <c r="B53" s="3" t="inlineStr">
        <is>
          <t>BIển-050</t>
        </is>
      </c>
      <c r="C53" s="3" t="inlineStr">
        <is>
          <t>Cẩu kéo</t>
        </is>
      </c>
      <c r="D53" s="3" t="inlineStr">
        <is>
          <t>PTI bảo lãnh</t>
        </is>
      </c>
      <c r="E53" s="4" t="n">
        <v>1667154</v>
      </c>
      <c r="F53" s="4" t="n">
        <v>0</v>
      </c>
      <c r="G53" s="4" t="n">
        <v>0</v>
      </c>
      <c r="H53" s="4">
        <f>E53+F53+G53</f>
        <v/>
      </c>
      <c r="I53" s="3">
        <f>IF(D53="PTI bảo lãnh","Bảo lãnh đủ",IF(D53="PTI bảo lãnh 1 phần","Bảo lãnh một phần",IF(D53="PTI không bảo lãnh","Không bảo lãnh (KH đã TT)",IF(D53="PTI không bảo lãnh, Khách hàng chưa thanh toán","Không bảo lãnh (Chưa thu)",D53))))</f>
        <v/>
      </c>
    </row>
    <row r="54">
      <c r="A54" s="3" t="n">
        <v>51</v>
      </c>
      <c r="B54" s="3" t="inlineStr">
        <is>
          <t>BIển-051</t>
        </is>
      </c>
      <c r="C54" s="3" t="inlineStr">
        <is>
          <t>Cẩu kéo</t>
        </is>
      </c>
      <c r="D54" s="3" t="inlineStr">
        <is>
          <t>PTI bảo lãnh</t>
        </is>
      </c>
      <c r="E54" s="4" t="n">
        <v>1667154</v>
      </c>
      <c r="F54" s="4" t="n">
        <v>0</v>
      </c>
      <c r="G54" s="4" t="n">
        <v>0</v>
      </c>
      <c r="H54" s="4">
        <f>E54+F54+G54</f>
        <v/>
      </c>
      <c r="I54" s="3">
        <f>IF(D54="PTI bảo lãnh","Bảo lãnh đủ",IF(D54="PTI bảo lãnh 1 phần","Bảo lãnh một phần",IF(D54="PTI không bảo lãnh","Không bảo lãnh (KH đã TT)",IF(D54="PTI không bảo lãnh, Khách hàng chưa thanh toán","Không bảo lãnh (Chưa thu)",D54))))</f>
        <v/>
      </c>
    </row>
    <row r="55">
      <c r="A55" s="3" t="n">
        <v>52</v>
      </c>
      <c r="B55" s="3" t="inlineStr">
        <is>
          <t>BIển-052</t>
        </is>
      </c>
      <c r="C55" s="3" t="inlineStr">
        <is>
          <t>Cẩu kéo</t>
        </is>
      </c>
      <c r="D55" s="3" t="inlineStr">
        <is>
          <t>PTI bảo lãnh</t>
        </is>
      </c>
      <c r="E55" s="4" t="n">
        <v>1667154</v>
      </c>
      <c r="F55" s="4" t="n">
        <v>0</v>
      </c>
      <c r="G55" s="4" t="n">
        <v>0</v>
      </c>
      <c r="H55" s="4">
        <f>E55+F55+G55</f>
        <v/>
      </c>
      <c r="I55" s="3">
        <f>IF(D55="PTI bảo lãnh","Bảo lãnh đủ",IF(D55="PTI bảo lãnh 1 phần","Bảo lãnh một phần",IF(D55="PTI không bảo lãnh","Không bảo lãnh (KH đã TT)",IF(D55="PTI không bảo lãnh, Khách hàng chưa thanh toán","Không bảo lãnh (Chưa thu)",D55))))</f>
        <v/>
      </c>
    </row>
    <row r="56">
      <c r="A56" s="3" t="n">
        <v>53</v>
      </c>
      <c r="B56" s="3" t="inlineStr">
        <is>
          <t>BIển-053</t>
        </is>
      </c>
      <c r="C56" s="3" t="inlineStr">
        <is>
          <t>Cẩu kéo</t>
        </is>
      </c>
      <c r="D56" s="3" t="inlineStr">
        <is>
          <t>PTI bảo lãnh</t>
        </is>
      </c>
      <c r="E56" s="4" t="n">
        <v>1667154</v>
      </c>
      <c r="F56" s="4" t="n">
        <v>0</v>
      </c>
      <c r="G56" s="4" t="n">
        <v>0</v>
      </c>
      <c r="H56" s="4">
        <f>E56+F56+G56</f>
        <v/>
      </c>
      <c r="I56" s="3">
        <f>IF(D56="PTI bảo lãnh","Bảo lãnh đủ",IF(D56="PTI bảo lãnh 1 phần","Bảo lãnh một phần",IF(D56="PTI không bảo lãnh","Không bảo lãnh (KH đã TT)",IF(D56="PTI không bảo lãnh, Khách hàng chưa thanh toán","Không bảo lãnh (Chưa thu)",D56))))</f>
        <v/>
      </c>
    </row>
    <row r="57">
      <c r="A57" s="3" t="n">
        <v>54</v>
      </c>
      <c r="B57" s="3" t="inlineStr">
        <is>
          <t>BIển-054</t>
        </is>
      </c>
      <c r="C57" s="3" t="inlineStr">
        <is>
          <t>Cẩu kéo</t>
        </is>
      </c>
      <c r="D57" s="3" t="inlineStr">
        <is>
          <t>PTI bảo lãnh</t>
        </is>
      </c>
      <c r="E57" s="4" t="n">
        <v>1667154</v>
      </c>
      <c r="F57" s="4" t="n">
        <v>0</v>
      </c>
      <c r="G57" s="4" t="n">
        <v>0</v>
      </c>
      <c r="H57" s="4">
        <f>E57+F57+G57</f>
        <v/>
      </c>
      <c r="I57" s="3">
        <f>IF(D57="PTI bảo lãnh","Bảo lãnh đủ",IF(D57="PTI bảo lãnh 1 phần","Bảo lãnh một phần",IF(D57="PTI không bảo lãnh","Không bảo lãnh (KH đã TT)",IF(D57="PTI không bảo lãnh, Khách hàng chưa thanh toán","Không bảo lãnh (Chưa thu)",D57))))</f>
        <v/>
      </c>
    </row>
    <row r="58">
      <c r="A58" s="3" t="n">
        <v>55</v>
      </c>
      <c r="B58" s="3" t="inlineStr">
        <is>
          <t>BIển-055</t>
        </is>
      </c>
      <c r="C58" s="3" t="inlineStr">
        <is>
          <t>Cẩu kéo</t>
        </is>
      </c>
      <c r="D58" s="3" t="inlineStr">
        <is>
          <t>PTI bảo lãnh</t>
        </is>
      </c>
      <c r="E58" s="4" t="n">
        <v>1667154</v>
      </c>
      <c r="F58" s="4" t="n">
        <v>0</v>
      </c>
      <c r="G58" s="4" t="n">
        <v>0</v>
      </c>
      <c r="H58" s="4">
        <f>E58+F58+G58</f>
        <v/>
      </c>
      <c r="I58" s="3">
        <f>IF(D58="PTI bảo lãnh","Bảo lãnh đủ",IF(D58="PTI bảo lãnh 1 phần","Bảo lãnh một phần",IF(D58="PTI không bảo lãnh","Không bảo lãnh (KH đã TT)",IF(D58="PTI không bảo lãnh, Khách hàng chưa thanh toán","Không bảo lãnh (Chưa thu)",D58))))</f>
        <v/>
      </c>
    </row>
    <row r="59">
      <c r="A59" s="3" t="n">
        <v>56</v>
      </c>
      <c r="B59" s="3" t="inlineStr">
        <is>
          <t>BIển-056</t>
        </is>
      </c>
      <c r="C59" s="3" t="inlineStr">
        <is>
          <t>Cẩu kéo</t>
        </is>
      </c>
      <c r="D59" s="3" t="inlineStr">
        <is>
          <t>PTI bảo lãnh</t>
        </is>
      </c>
      <c r="E59" s="4" t="n">
        <v>1667154</v>
      </c>
      <c r="F59" s="4" t="n">
        <v>0</v>
      </c>
      <c r="G59" s="4" t="n">
        <v>0</v>
      </c>
      <c r="H59" s="4">
        <f>E59+F59+G59</f>
        <v/>
      </c>
      <c r="I59" s="3">
        <f>IF(D59="PTI bảo lãnh","Bảo lãnh đủ",IF(D59="PTI bảo lãnh 1 phần","Bảo lãnh một phần",IF(D59="PTI không bảo lãnh","Không bảo lãnh (KH đã TT)",IF(D59="PTI không bảo lãnh, Khách hàng chưa thanh toán","Không bảo lãnh (Chưa thu)",D59))))</f>
        <v/>
      </c>
    </row>
    <row r="60">
      <c r="A60" s="3" t="n">
        <v>57</v>
      </c>
      <c r="B60" s="3" t="inlineStr">
        <is>
          <t>BIển-057</t>
        </is>
      </c>
      <c r="C60" s="3" t="inlineStr">
        <is>
          <t>Cẩu kéo</t>
        </is>
      </c>
      <c r="D60" s="3" t="inlineStr">
        <is>
          <t>PTI bảo lãnh</t>
        </is>
      </c>
      <c r="E60" s="4" t="n">
        <v>1667154</v>
      </c>
      <c r="F60" s="4" t="n">
        <v>0</v>
      </c>
      <c r="G60" s="4" t="n">
        <v>0</v>
      </c>
      <c r="H60" s="4">
        <f>E60+F60+G60</f>
        <v/>
      </c>
      <c r="I60" s="3">
        <f>IF(D60="PTI bảo lãnh","Bảo lãnh đủ",IF(D60="PTI bảo lãnh 1 phần","Bảo lãnh một phần",IF(D60="PTI không bảo lãnh","Không bảo lãnh (KH đã TT)",IF(D60="PTI không bảo lãnh, Khách hàng chưa thanh toán","Không bảo lãnh (Chưa thu)",D60))))</f>
        <v/>
      </c>
    </row>
    <row r="61">
      <c r="A61" s="3" t="n">
        <v>58</v>
      </c>
      <c r="B61" s="3" t="inlineStr">
        <is>
          <t>BIển-058</t>
        </is>
      </c>
      <c r="C61" s="3" t="inlineStr">
        <is>
          <t>Cẩu kéo</t>
        </is>
      </c>
      <c r="D61" s="3" t="inlineStr">
        <is>
          <t>PTI bảo lãnh</t>
        </is>
      </c>
      <c r="E61" s="4" t="n">
        <v>1667154</v>
      </c>
      <c r="F61" s="4" t="n">
        <v>0</v>
      </c>
      <c r="G61" s="4" t="n">
        <v>0</v>
      </c>
      <c r="H61" s="4">
        <f>E61+F61+G61</f>
        <v/>
      </c>
      <c r="I61" s="3">
        <f>IF(D61="PTI bảo lãnh","Bảo lãnh đủ",IF(D61="PTI bảo lãnh 1 phần","Bảo lãnh một phần",IF(D61="PTI không bảo lãnh","Không bảo lãnh (KH đã TT)",IF(D61="PTI không bảo lãnh, Khách hàng chưa thanh toán","Không bảo lãnh (Chưa thu)",D61))))</f>
        <v/>
      </c>
    </row>
    <row r="62">
      <c r="A62" s="3" t="n">
        <v>59</v>
      </c>
      <c r="B62" s="3" t="inlineStr">
        <is>
          <t>BIển-059</t>
        </is>
      </c>
      <c r="C62" s="3" t="inlineStr">
        <is>
          <t>Cẩu kéo</t>
        </is>
      </c>
      <c r="D62" s="3" t="inlineStr">
        <is>
          <t>PTI bảo lãnh</t>
        </is>
      </c>
      <c r="E62" s="4" t="n">
        <v>1667154</v>
      </c>
      <c r="F62" s="4" t="n">
        <v>0</v>
      </c>
      <c r="G62" s="4" t="n">
        <v>0</v>
      </c>
      <c r="H62" s="4">
        <f>E62+F62+G62</f>
        <v/>
      </c>
      <c r="I62" s="3">
        <f>IF(D62="PTI bảo lãnh","Bảo lãnh đủ",IF(D62="PTI bảo lãnh 1 phần","Bảo lãnh một phần",IF(D62="PTI không bảo lãnh","Không bảo lãnh (KH đã TT)",IF(D62="PTI không bảo lãnh, Khách hàng chưa thanh toán","Không bảo lãnh (Chưa thu)",D62))))</f>
        <v/>
      </c>
    </row>
    <row r="63">
      <c r="A63" s="3" t="n">
        <v>60</v>
      </c>
      <c r="B63" s="3" t="inlineStr">
        <is>
          <t>BIển-060</t>
        </is>
      </c>
      <c r="C63" s="3" t="inlineStr">
        <is>
          <t>Cẩu kéo</t>
        </is>
      </c>
      <c r="D63" s="3" t="inlineStr">
        <is>
          <t>PTI bảo lãnh</t>
        </is>
      </c>
      <c r="E63" s="4" t="n">
        <v>1667154</v>
      </c>
      <c r="F63" s="4" t="n">
        <v>0</v>
      </c>
      <c r="G63" s="4" t="n">
        <v>0</v>
      </c>
      <c r="H63" s="4">
        <f>E63+F63+G63</f>
        <v/>
      </c>
      <c r="I63" s="3">
        <f>IF(D63="PTI bảo lãnh","Bảo lãnh đủ",IF(D63="PTI bảo lãnh 1 phần","Bảo lãnh một phần",IF(D63="PTI không bảo lãnh","Không bảo lãnh (KH đã TT)",IF(D63="PTI không bảo lãnh, Khách hàng chưa thanh toán","Không bảo lãnh (Chưa thu)",D63))))</f>
        <v/>
      </c>
    </row>
    <row r="64">
      <c r="A64" s="3" t="n">
        <v>61</v>
      </c>
      <c r="B64" s="3" t="inlineStr">
        <is>
          <t>BIển-061</t>
        </is>
      </c>
      <c r="C64" s="3" t="inlineStr">
        <is>
          <t>Cẩu kéo</t>
        </is>
      </c>
      <c r="D64" s="3" t="inlineStr">
        <is>
          <t>PTI bảo lãnh</t>
        </is>
      </c>
      <c r="E64" s="4" t="n">
        <v>1667154</v>
      </c>
      <c r="F64" s="4" t="n">
        <v>0</v>
      </c>
      <c r="G64" s="4" t="n">
        <v>0</v>
      </c>
      <c r="H64" s="4">
        <f>E64+F64+G64</f>
        <v/>
      </c>
      <c r="I64" s="3">
        <f>IF(D64="PTI bảo lãnh","Bảo lãnh đủ",IF(D64="PTI bảo lãnh 1 phần","Bảo lãnh một phần",IF(D64="PTI không bảo lãnh","Không bảo lãnh (KH đã TT)",IF(D64="PTI không bảo lãnh, Khách hàng chưa thanh toán","Không bảo lãnh (Chưa thu)",D64))))</f>
        <v/>
      </c>
    </row>
    <row r="65">
      <c r="A65" s="3" t="n">
        <v>62</v>
      </c>
      <c r="B65" s="3" t="inlineStr">
        <is>
          <t>BIển-062</t>
        </is>
      </c>
      <c r="C65" s="3" t="inlineStr">
        <is>
          <t>Cẩu kéo</t>
        </is>
      </c>
      <c r="D65" s="3" t="inlineStr">
        <is>
          <t>PTI bảo lãnh</t>
        </is>
      </c>
      <c r="E65" s="4" t="n">
        <v>1667154</v>
      </c>
      <c r="F65" s="4" t="n">
        <v>0</v>
      </c>
      <c r="G65" s="4" t="n">
        <v>0</v>
      </c>
      <c r="H65" s="4">
        <f>E65+F65+G65</f>
        <v/>
      </c>
      <c r="I65" s="3">
        <f>IF(D65="PTI bảo lãnh","Bảo lãnh đủ",IF(D65="PTI bảo lãnh 1 phần","Bảo lãnh một phần",IF(D65="PTI không bảo lãnh","Không bảo lãnh (KH đã TT)",IF(D65="PTI không bảo lãnh, Khách hàng chưa thanh toán","Không bảo lãnh (Chưa thu)",D65))))</f>
        <v/>
      </c>
    </row>
    <row r="66">
      <c r="A66" s="3" t="n">
        <v>63</v>
      </c>
      <c r="B66" s="3" t="inlineStr">
        <is>
          <t>BIển-063</t>
        </is>
      </c>
      <c r="C66" s="3" t="inlineStr">
        <is>
          <t>Cẩu kéo</t>
        </is>
      </c>
      <c r="D66" s="3" t="inlineStr">
        <is>
          <t>PTI bảo lãnh</t>
        </is>
      </c>
      <c r="E66" s="4" t="n">
        <v>1667154</v>
      </c>
      <c r="F66" s="4" t="n">
        <v>0</v>
      </c>
      <c r="G66" s="4" t="n">
        <v>0</v>
      </c>
      <c r="H66" s="4">
        <f>E66+F66+G66</f>
        <v/>
      </c>
      <c r="I66" s="3">
        <f>IF(D66="PTI bảo lãnh","Bảo lãnh đủ",IF(D66="PTI bảo lãnh 1 phần","Bảo lãnh một phần",IF(D66="PTI không bảo lãnh","Không bảo lãnh (KH đã TT)",IF(D66="PTI không bảo lãnh, Khách hàng chưa thanh toán","Không bảo lãnh (Chưa thu)",D66))))</f>
        <v/>
      </c>
    </row>
    <row r="67">
      <c r="A67" s="3" t="n">
        <v>64</v>
      </c>
      <c r="B67" s="3" t="inlineStr">
        <is>
          <t>BIển-064</t>
        </is>
      </c>
      <c r="C67" s="3" t="inlineStr">
        <is>
          <t>Cẩu kéo</t>
        </is>
      </c>
      <c r="D67" s="3" t="inlineStr">
        <is>
          <t>PTI bảo lãnh</t>
        </is>
      </c>
      <c r="E67" s="4" t="n">
        <v>1667154</v>
      </c>
      <c r="F67" s="4" t="n">
        <v>0</v>
      </c>
      <c r="G67" s="4" t="n">
        <v>0</v>
      </c>
      <c r="H67" s="4">
        <f>E67+F67+G67</f>
        <v/>
      </c>
      <c r="I67" s="3">
        <f>IF(D67="PTI bảo lãnh","Bảo lãnh đủ",IF(D67="PTI bảo lãnh 1 phần","Bảo lãnh một phần",IF(D67="PTI không bảo lãnh","Không bảo lãnh (KH đã TT)",IF(D67="PTI không bảo lãnh, Khách hàng chưa thanh toán","Không bảo lãnh (Chưa thu)",D67))))</f>
        <v/>
      </c>
    </row>
    <row r="68">
      <c r="A68" s="3" t="n">
        <v>65</v>
      </c>
      <c r="B68" s="3" t="inlineStr">
        <is>
          <t>BIển-065</t>
        </is>
      </c>
      <c r="C68" s="3" t="inlineStr">
        <is>
          <t>Cẩu kéo</t>
        </is>
      </c>
      <c r="D68" s="3" t="inlineStr">
        <is>
          <t>PTI bảo lãnh</t>
        </is>
      </c>
      <c r="E68" s="4" t="n">
        <v>1667154</v>
      </c>
      <c r="F68" s="4" t="n">
        <v>0</v>
      </c>
      <c r="G68" s="4" t="n">
        <v>0</v>
      </c>
      <c r="H68" s="4">
        <f>E68+F68+G68</f>
        <v/>
      </c>
      <c r="I68" s="3">
        <f>IF(D68="PTI bảo lãnh","Bảo lãnh đủ",IF(D68="PTI bảo lãnh 1 phần","Bảo lãnh một phần",IF(D68="PTI không bảo lãnh","Không bảo lãnh (KH đã TT)",IF(D68="PTI không bảo lãnh, Khách hàng chưa thanh toán","Không bảo lãnh (Chưa thu)",D68))))</f>
        <v/>
      </c>
    </row>
    <row r="69">
      <c r="A69" s="3" t="n">
        <v>66</v>
      </c>
      <c r="B69" s="3" t="inlineStr">
        <is>
          <t>BIển-066</t>
        </is>
      </c>
      <c r="C69" s="3" t="inlineStr">
        <is>
          <t>Cẩu kéo</t>
        </is>
      </c>
      <c r="D69" s="3" t="inlineStr">
        <is>
          <t>PTI bảo lãnh</t>
        </is>
      </c>
      <c r="E69" s="4" t="n">
        <v>1667154</v>
      </c>
      <c r="F69" s="4" t="n">
        <v>0</v>
      </c>
      <c r="G69" s="4" t="n">
        <v>0</v>
      </c>
      <c r="H69" s="4">
        <f>E69+F69+G69</f>
        <v/>
      </c>
      <c r="I69" s="3">
        <f>IF(D69="PTI bảo lãnh","Bảo lãnh đủ",IF(D69="PTI bảo lãnh 1 phần","Bảo lãnh một phần",IF(D69="PTI không bảo lãnh","Không bảo lãnh (KH đã TT)",IF(D69="PTI không bảo lãnh, Khách hàng chưa thanh toán","Không bảo lãnh (Chưa thu)",D69))))</f>
        <v/>
      </c>
    </row>
    <row r="70">
      <c r="A70" s="3" t="n">
        <v>67</v>
      </c>
      <c r="B70" s="3" t="inlineStr">
        <is>
          <t>BIển-067</t>
        </is>
      </c>
      <c r="C70" s="3" t="inlineStr">
        <is>
          <t>Cẩu kéo</t>
        </is>
      </c>
      <c r="D70" s="3" t="inlineStr">
        <is>
          <t>PTI bảo lãnh</t>
        </is>
      </c>
      <c r="E70" s="4" t="n">
        <v>1667154</v>
      </c>
      <c r="F70" s="4" t="n">
        <v>0</v>
      </c>
      <c r="G70" s="4" t="n">
        <v>0</v>
      </c>
      <c r="H70" s="4">
        <f>E70+F70+G70</f>
        <v/>
      </c>
      <c r="I70" s="3">
        <f>IF(D70="PTI bảo lãnh","Bảo lãnh đủ",IF(D70="PTI bảo lãnh 1 phần","Bảo lãnh một phần",IF(D70="PTI không bảo lãnh","Không bảo lãnh (KH đã TT)",IF(D70="PTI không bảo lãnh, Khách hàng chưa thanh toán","Không bảo lãnh (Chưa thu)",D70))))</f>
        <v/>
      </c>
    </row>
    <row r="71">
      <c r="A71" s="3" t="n">
        <v>68</v>
      </c>
      <c r="B71" s="3" t="inlineStr">
        <is>
          <t>BIển-068</t>
        </is>
      </c>
      <c r="C71" s="3" t="inlineStr">
        <is>
          <t>Cẩu kéo</t>
        </is>
      </c>
      <c r="D71" s="3" t="inlineStr">
        <is>
          <t>PTI bảo lãnh</t>
        </is>
      </c>
      <c r="E71" s="4" t="n">
        <v>1667154</v>
      </c>
      <c r="F71" s="4" t="n">
        <v>0</v>
      </c>
      <c r="G71" s="4" t="n">
        <v>0</v>
      </c>
      <c r="H71" s="4">
        <f>E71+F71+G71</f>
        <v/>
      </c>
      <c r="I71" s="3">
        <f>IF(D71="PTI bảo lãnh","Bảo lãnh đủ",IF(D71="PTI bảo lãnh 1 phần","Bảo lãnh một phần",IF(D71="PTI không bảo lãnh","Không bảo lãnh (KH đã TT)",IF(D71="PTI không bảo lãnh, Khách hàng chưa thanh toán","Không bảo lãnh (Chưa thu)",D71))))</f>
        <v/>
      </c>
    </row>
    <row r="72">
      <c r="A72" s="3" t="n">
        <v>69</v>
      </c>
      <c r="B72" s="3" t="inlineStr">
        <is>
          <t>BIển-069</t>
        </is>
      </c>
      <c r="C72" s="3" t="inlineStr">
        <is>
          <t>Cẩu kéo</t>
        </is>
      </c>
      <c r="D72" s="3" t="inlineStr">
        <is>
          <t>PTI bảo lãnh</t>
        </is>
      </c>
      <c r="E72" s="4" t="n">
        <v>1667154</v>
      </c>
      <c r="F72" s="4" t="n">
        <v>0</v>
      </c>
      <c r="G72" s="4" t="n">
        <v>0</v>
      </c>
      <c r="H72" s="4">
        <f>E72+F72+G72</f>
        <v/>
      </c>
      <c r="I72" s="3">
        <f>IF(D72="PTI bảo lãnh","Bảo lãnh đủ",IF(D72="PTI bảo lãnh 1 phần","Bảo lãnh một phần",IF(D72="PTI không bảo lãnh","Không bảo lãnh (KH đã TT)",IF(D72="PTI không bảo lãnh, Khách hàng chưa thanh toán","Không bảo lãnh (Chưa thu)",D72))))</f>
        <v/>
      </c>
    </row>
    <row r="73">
      <c r="A73" s="3" t="n">
        <v>70</v>
      </c>
      <c r="B73" s="3" t="inlineStr">
        <is>
          <t>BIển-070</t>
        </is>
      </c>
      <c r="C73" s="3" t="inlineStr">
        <is>
          <t>Cẩu kéo</t>
        </is>
      </c>
      <c r="D73" s="3" t="inlineStr">
        <is>
          <t>PTI bảo lãnh</t>
        </is>
      </c>
      <c r="E73" s="4" t="n">
        <v>1667154</v>
      </c>
      <c r="F73" s="4" t="n">
        <v>0</v>
      </c>
      <c r="G73" s="4" t="n">
        <v>0</v>
      </c>
      <c r="H73" s="4">
        <f>E73+F73+G73</f>
        <v/>
      </c>
      <c r="I73" s="3">
        <f>IF(D73="PTI bảo lãnh","Bảo lãnh đủ",IF(D73="PTI bảo lãnh 1 phần","Bảo lãnh một phần",IF(D73="PTI không bảo lãnh","Không bảo lãnh (KH đã TT)",IF(D73="PTI không bảo lãnh, Khách hàng chưa thanh toán","Không bảo lãnh (Chưa thu)",D73))))</f>
        <v/>
      </c>
    </row>
    <row r="74">
      <c r="A74" s="3" t="n">
        <v>71</v>
      </c>
      <c r="B74" s="3" t="inlineStr">
        <is>
          <t>BIển-071</t>
        </is>
      </c>
      <c r="C74" s="3" t="inlineStr">
        <is>
          <t>Cẩu kéo</t>
        </is>
      </c>
      <c r="D74" s="3" t="inlineStr">
        <is>
          <t>PTI bảo lãnh</t>
        </is>
      </c>
      <c r="E74" s="4" t="n">
        <v>1667154</v>
      </c>
      <c r="F74" s="4" t="n">
        <v>0</v>
      </c>
      <c r="G74" s="4" t="n">
        <v>0</v>
      </c>
      <c r="H74" s="4">
        <f>E74+F74+G74</f>
        <v/>
      </c>
      <c r="I74" s="3">
        <f>IF(D74="PTI bảo lãnh","Bảo lãnh đủ",IF(D74="PTI bảo lãnh 1 phần","Bảo lãnh một phần",IF(D74="PTI không bảo lãnh","Không bảo lãnh (KH đã TT)",IF(D74="PTI không bảo lãnh, Khách hàng chưa thanh toán","Không bảo lãnh (Chưa thu)",D74))))</f>
        <v/>
      </c>
    </row>
    <row r="75">
      <c r="A75" s="3" t="n">
        <v>72</v>
      </c>
      <c r="B75" s="3" t="inlineStr">
        <is>
          <t>BIển-072</t>
        </is>
      </c>
      <c r="C75" s="3" t="inlineStr">
        <is>
          <t>Cẩu kéo</t>
        </is>
      </c>
      <c r="D75" s="3" t="inlineStr">
        <is>
          <t>PTI bảo lãnh</t>
        </is>
      </c>
      <c r="E75" s="4" t="n">
        <v>1667154</v>
      </c>
      <c r="F75" s="4" t="n">
        <v>0</v>
      </c>
      <c r="G75" s="4" t="n">
        <v>0</v>
      </c>
      <c r="H75" s="4">
        <f>E75+F75+G75</f>
        <v/>
      </c>
      <c r="I75" s="3">
        <f>IF(D75="PTI bảo lãnh","Bảo lãnh đủ",IF(D75="PTI bảo lãnh 1 phần","Bảo lãnh một phần",IF(D75="PTI không bảo lãnh","Không bảo lãnh (KH đã TT)",IF(D75="PTI không bảo lãnh, Khách hàng chưa thanh toán","Không bảo lãnh (Chưa thu)",D75))))</f>
        <v/>
      </c>
    </row>
    <row r="76">
      <c r="A76" s="3" t="n">
        <v>73</v>
      </c>
      <c r="B76" s="3" t="inlineStr">
        <is>
          <t>BIển-073</t>
        </is>
      </c>
      <c r="C76" s="3" t="inlineStr">
        <is>
          <t>Cẩu kéo</t>
        </is>
      </c>
      <c r="D76" s="3" t="inlineStr">
        <is>
          <t>PTI bảo lãnh</t>
        </is>
      </c>
      <c r="E76" s="4" t="n">
        <v>1667154</v>
      </c>
      <c r="F76" s="4" t="n">
        <v>0</v>
      </c>
      <c r="G76" s="4" t="n">
        <v>0</v>
      </c>
      <c r="H76" s="4">
        <f>E76+F76+G76</f>
        <v/>
      </c>
      <c r="I76" s="3">
        <f>IF(D76="PTI bảo lãnh","Bảo lãnh đủ",IF(D76="PTI bảo lãnh 1 phần","Bảo lãnh một phần",IF(D76="PTI không bảo lãnh","Không bảo lãnh (KH đã TT)",IF(D76="PTI không bảo lãnh, Khách hàng chưa thanh toán","Không bảo lãnh (Chưa thu)",D76))))</f>
        <v/>
      </c>
    </row>
    <row r="77">
      <c r="A77" s="3" t="n">
        <v>74</v>
      </c>
      <c r="B77" s="3" t="inlineStr">
        <is>
          <t>BIển-074</t>
        </is>
      </c>
      <c r="C77" s="3" t="inlineStr">
        <is>
          <t>Cẩu kéo</t>
        </is>
      </c>
      <c r="D77" s="3" t="inlineStr">
        <is>
          <t>PTI bảo lãnh</t>
        </is>
      </c>
      <c r="E77" s="4" t="n">
        <v>1667154</v>
      </c>
      <c r="F77" s="4" t="n">
        <v>0</v>
      </c>
      <c r="G77" s="4" t="n">
        <v>0</v>
      </c>
      <c r="H77" s="4">
        <f>E77+F77+G77</f>
        <v/>
      </c>
      <c r="I77" s="3">
        <f>IF(D77="PTI bảo lãnh","Bảo lãnh đủ",IF(D77="PTI bảo lãnh 1 phần","Bảo lãnh một phần",IF(D77="PTI không bảo lãnh","Không bảo lãnh (KH đã TT)",IF(D77="PTI không bảo lãnh, Khách hàng chưa thanh toán","Không bảo lãnh (Chưa thu)",D77))))</f>
        <v/>
      </c>
    </row>
    <row r="78">
      <c r="A78" s="3" t="n">
        <v>75</v>
      </c>
      <c r="B78" s="3" t="inlineStr">
        <is>
          <t>BIển-075</t>
        </is>
      </c>
      <c r="C78" s="3" t="inlineStr">
        <is>
          <t>Cẩu kéo</t>
        </is>
      </c>
      <c r="D78" s="3" t="inlineStr">
        <is>
          <t>PTI bảo lãnh</t>
        </is>
      </c>
      <c r="E78" s="4" t="n">
        <v>1667154</v>
      </c>
      <c r="F78" s="4" t="n">
        <v>0</v>
      </c>
      <c r="G78" s="4" t="n">
        <v>0</v>
      </c>
      <c r="H78" s="4">
        <f>E78+F78+G78</f>
        <v/>
      </c>
      <c r="I78" s="3">
        <f>IF(D78="PTI bảo lãnh","Bảo lãnh đủ",IF(D78="PTI bảo lãnh 1 phần","Bảo lãnh một phần",IF(D78="PTI không bảo lãnh","Không bảo lãnh (KH đã TT)",IF(D78="PTI không bảo lãnh, Khách hàng chưa thanh toán","Không bảo lãnh (Chưa thu)",D78))))</f>
        <v/>
      </c>
    </row>
    <row r="79">
      <c r="A79" s="3" t="n">
        <v>76</v>
      </c>
      <c r="B79" s="3" t="inlineStr">
        <is>
          <t>BIển-076</t>
        </is>
      </c>
      <c r="C79" s="3" t="inlineStr">
        <is>
          <t>Cẩu kéo</t>
        </is>
      </c>
      <c r="D79" s="3" t="inlineStr">
        <is>
          <t>PTI bảo lãnh</t>
        </is>
      </c>
      <c r="E79" s="4" t="n">
        <v>1667154</v>
      </c>
      <c r="F79" s="4" t="n">
        <v>0</v>
      </c>
      <c r="G79" s="4" t="n">
        <v>0</v>
      </c>
      <c r="H79" s="4">
        <f>E79+F79+G79</f>
        <v/>
      </c>
      <c r="I79" s="3">
        <f>IF(D79="PTI bảo lãnh","Bảo lãnh đủ",IF(D79="PTI bảo lãnh 1 phần","Bảo lãnh một phần",IF(D79="PTI không bảo lãnh","Không bảo lãnh (KH đã TT)",IF(D79="PTI không bảo lãnh, Khách hàng chưa thanh toán","Không bảo lãnh (Chưa thu)",D79))))</f>
        <v/>
      </c>
    </row>
    <row r="80">
      <c r="A80" s="3" t="n">
        <v>77</v>
      </c>
      <c r="B80" s="3" t="inlineStr">
        <is>
          <t>BIển-077</t>
        </is>
      </c>
      <c r="C80" s="3" t="inlineStr">
        <is>
          <t>Cẩu kéo</t>
        </is>
      </c>
      <c r="D80" s="3" t="inlineStr">
        <is>
          <t>PTI bảo lãnh</t>
        </is>
      </c>
      <c r="E80" s="4" t="n">
        <v>1667154</v>
      </c>
      <c r="F80" s="4" t="n">
        <v>0</v>
      </c>
      <c r="G80" s="4" t="n">
        <v>0</v>
      </c>
      <c r="H80" s="4">
        <f>E80+F80+G80</f>
        <v/>
      </c>
      <c r="I80" s="3">
        <f>IF(D80="PTI bảo lãnh","Bảo lãnh đủ",IF(D80="PTI bảo lãnh 1 phần","Bảo lãnh một phần",IF(D80="PTI không bảo lãnh","Không bảo lãnh (KH đã TT)",IF(D80="PTI không bảo lãnh, Khách hàng chưa thanh toán","Không bảo lãnh (Chưa thu)",D80))))</f>
        <v/>
      </c>
    </row>
    <row r="81">
      <c r="A81" s="3" t="n">
        <v>78</v>
      </c>
      <c r="B81" s="3" t="inlineStr">
        <is>
          <t>BIển-078</t>
        </is>
      </c>
      <c r="C81" s="3" t="inlineStr">
        <is>
          <t>Hỗ trợ tại chỗ</t>
        </is>
      </c>
      <c r="D81" s="3" t="inlineStr">
        <is>
          <t>PTI bảo lãnh</t>
        </is>
      </c>
      <c r="E81" s="4" t="n">
        <v>400000</v>
      </c>
      <c r="F81" s="4" t="n">
        <v>0</v>
      </c>
      <c r="G81" s="4" t="n">
        <v>0</v>
      </c>
      <c r="H81" s="4">
        <f>E81+F81+G81</f>
        <v/>
      </c>
      <c r="I81" s="3">
        <f>IF(D81="PTI bảo lãnh","Bảo lãnh đủ",IF(D81="PTI bảo lãnh 1 phần","Bảo lãnh một phần",IF(D81="PTI không bảo lãnh","Không bảo lãnh (KH đã TT)",IF(D81="PTI không bảo lãnh, Khách hàng chưa thanh toán","Không bảo lãnh (Chưa thu)",D81))))</f>
        <v/>
      </c>
    </row>
    <row r="82">
      <c r="A82" s="3" t="n">
        <v>79</v>
      </c>
      <c r="B82" s="3" t="inlineStr">
        <is>
          <t>BIển-079</t>
        </is>
      </c>
      <c r="C82" s="3" t="inlineStr">
        <is>
          <t>Hỗ trợ tại chỗ</t>
        </is>
      </c>
      <c r="D82" s="3" t="inlineStr">
        <is>
          <t>PTI bảo lãnh</t>
        </is>
      </c>
      <c r="E82" s="4" t="n">
        <v>400000</v>
      </c>
      <c r="F82" s="4" t="n">
        <v>0</v>
      </c>
      <c r="G82" s="4" t="n">
        <v>0</v>
      </c>
      <c r="H82" s="4">
        <f>E82+F82+G82</f>
        <v/>
      </c>
      <c r="I82" s="3">
        <f>IF(D82="PTI bảo lãnh","Bảo lãnh đủ",IF(D82="PTI bảo lãnh 1 phần","Bảo lãnh một phần",IF(D82="PTI không bảo lãnh","Không bảo lãnh (KH đã TT)",IF(D82="PTI không bảo lãnh, Khách hàng chưa thanh toán","Không bảo lãnh (Chưa thu)",D82))))</f>
        <v/>
      </c>
    </row>
    <row r="83">
      <c r="A83" s="3" t="n">
        <v>80</v>
      </c>
      <c r="B83" s="3" t="inlineStr">
        <is>
          <t>BIển-080</t>
        </is>
      </c>
      <c r="C83" s="3" t="inlineStr">
        <is>
          <t>Hỗ trợ tại chỗ</t>
        </is>
      </c>
      <c r="D83" s="3" t="inlineStr">
        <is>
          <t>PTI bảo lãnh</t>
        </is>
      </c>
      <c r="E83" s="4" t="n">
        <v>400000</v>
      </c>
      <c r="F83" s="4" t="n">
        <v>0</v>
      </c>
      <c r="G83" s="4" t="n">
        <v>0</v>
      </c>
      <c r="H83" s="4">
        <f>E83+F83+G83</f>
        <v/>
      </c>
      <c r="I83" s="3">
        <f>IF(D83="PTI bảo lãnh","Bảo lãnh đủ",IF(D83="PTI bảo lãnh 1 phần","Bảo lãnh một phần",IF(D83="PTI không bảo lãnh","Không bảo lãnh (KH đã TT)",IF(D83="PTI không bảo lãnh, Khách hàng chưa thanh toán","Không bảo lãnh (Chưa thu)",D83))))</f>
        <v/>
      </c>
    </row>
    <row r="84">
      <c r="A84" s="3" t="n">
        <v>81</v>
      </c>
      <c r="B84" s="3" t="inlineStr">
        <is>
          <t>BIển-081</t>
        </is>
      </c>
      <c r="C84" s="3" t="inlineStr">
        <is>
          <t>Hỗ trợ tại chỗ</t>
        </is>
      </c>
      <c r="D84" s="3" t="inlineStr">
        <is>
          <t>PTI bảo lãnh</t>
        </is>
      </c>
      <c r="E84" s="4" t="n">
        <v>400000</v>
      </c>
      <c r="F84" s="4" t="n">
        <v>0</v>
      </c>
      <c r="G84" s="4" t="n">
        <v>0</v>
      </c>
      <c r="H84" s="4">
        <f>E84+F84+G84</f>
        <v/>
      </c>
      <c r="I84" s="3">
        <f>IF(D84="PTI bảo lãnh","Bảo lãnh đủ",IF(D84="PTI bảo lãnh 1 phần","Bảo lãnh một phần",IF(D84="PTI không bảo lãnh","Không bảo lãnh (KH đã TT)",IF(D84="PTI không bảo lãnh, Khách hàng chưa thanh toán","Không bảo lãnh (Chưa thu)",D84))))</f>
        <v/>
      </c>
    </row>
    <row r="85">
      <c r="A85" s="3" t="n">
        <v>82</v>
      </c>
      <c r="B85" s="3" t="inlineStr">
        <is>
          <t>BIển-082</t>
        </is>
      </c>
      <c r="C85" s="3" t="inlineStr">
        <is>
          <t>Cẩu kéo</t>
        </is>
      </c>
      <c r="D85" s="3" t="inlineStr">
        <is>
          <t>PTI bảo lãnh 1 phần</t>
        </is>
      </c>
      <c r="E85" s="4" t="n">
        <v>2997172</v>
      </c>
      <c r="F85" s="4" t="n">
        <v>788889</v>
      </c>
      <c r="G85" s="4" t="n">
        <v>0</v>
      </c>
      <c r="H85" s="4">
        <f>E85+F85+G85</f>
        <v/>
      </c>
      <c r="I85" s="3">
        <f>IF(D85="PTI bảo lãnh","Bảo lãnh đủ",IF(D85="PTI bảo lãnh 1 phần","Bảo lãnh một phần",IF(D85="PTI không bảo lãnh","Không bảo lãnh (KH đã TT)",IF(D85="PTI không bảo lãnh, Khách hàng chưa thanh toán","Không bảo lãnh (Chưa thu)",D85))))</f>
        <v/>
      </c>
    </row>
    <row r="86">
      <c r="A86" s="3" t="n">
        <v>83</v>
      </c>
      <c r="B86" s="3" t="inlineStr">
        <is>
          <t>BIển-083</t>
        </is>
      </c>
      <c r="C86" s="3" t="inlineStr">
        <is>
          <t>Cẩu kéo</t>
        </is>
      </c>
      <c r="D86" s="3" t="inlineStr">
        <is>
          <t>PTI không bảo lãnh</t>
        </is>
      </c>
      <c r="E86" s="4" t="n">
        <v>0</v>
      </c>
      <c r="F86" s="4" t="n">
        <v>1722500</v>
      </c>
      <c r="G86" s="4" t="n">
        <v>0</v>
      </c>
      <c r="H86" s="4">
        <f>E86+F86+G86</f>
        <v/>
      </c>
      <c r="I86" s="3">
        <f>IF(D86="PTI bảo lãnh","Bảo lãnh đủ",IF(D86="PTI bảo lãnh 1 phần","Bảo lãnh một phần",IF(D86="PTI không bảo lãnh","Không bảo lãnh (KH đã TT)",IF(D86="PTI không bảo lãnh, Khách hàng chưa thanh toán","Không bảo lãnh (Chưa thu)",D86))))</f>
        <v/>
      </c>
    </row>
    <row r="87">
      <c r="A87" s="3" t="n">
        <v>84</v>
      </c>
      <c r="B87" s="3" t="inlineStr">
        <is>
          <t>BIển-084</t>
        </is>
      </c>
      <c r="C87" s="3" t="inlineStr">
        <is>
          <t>Cẩu kéo</t>
        </is>
      </c>
      <c r="D87" s="3" t="inlineStr">
        <is>
          <t>PTI không bảo lãnh</t>
        </is>
      </c>
      <c r="E87" s="4" t="n">
        <v>0</v>
      </c>
      <c r="F87" s="4" t="n">
        <v>1722500</v>
      </c>
      <c r="G87" s="4" t="n">
        <v>0</v>
      </c>
      <c r="H87" s="4">
        <f>E87+F87+G87</f>
        <v/>
      </c>
      <c r="I87" s="3">
        <f>IF(D87="PTI bảo lãnh","Bảo lãnh đủ",IF(D87="PTI bảo lãnh 1 phần","Bảo lãnh một phần",IF(D87="PTI không bảo lãnh","Không bảo lãnh (KH đã TT)",IF(D87="PTI không bảo lãnh, Khách hàng chưa thanh toán","Không bảo lãnh (Chưa thu)",D87))))</f>
        <v/>
      </c>
    </row>
    <row r="88">
      <c r="A88" s="3" t="n">
        <v>85</v>
      </c>
      <c r="B88" s="3" t="inlineStr">
        <is>
          <t>BIển-085</t>
        </is>
      </c>
      <c r="C88" s="3" t="inlineStr">
        <is>
          <t>Cẩu kéo, thủy kích</t>
        </is>
      </c>
      <c r="D88" s="3" t="inlineStr">
        <is>
          <t>PTI không bảo lãnh</t>
        </is>
      </c>
      <c r="E88" s="4" t="n">
        <v>0</v>
      </c>
      <c r="F88" s="4" t="n">
        <v>1573000</v>
      </c>
      <c r="G88" s="4" t="n">
        <v>0</v>
      </c>
      <c r="H88" s="4">
        <f>E88+F88+G88</f>
        <v/>
      </c>
      <c r="I88" s="3">
        <f>IF(D88="PTI bảo lãnh","Bảo lãnh đủ",IF(D88="PTI bảo lãnh 1 phần","Bảo lãnh một phần",IF(D88="PTI không bảo lãnh","Không bảo lãnh (KH đã TT)",IF(D88="PTI không bảo lãnh, Khách hàng chưa thanh toán","Không bảo lãnh (Chưa thu)",D88))))</f>
        <v/>
      </c>
    </row>
    <row r="89">
      <c r="A89" s="3" t="n">
        <v>86</v>
      </c>
      <c r="B89" s="3" t="inlineStr">
        <is>
          <t>BIển-086</t>
        </is>
      </c>
      <c r="C89" s="3" t="inlineStr">
        <is>
          <t>Đâm, lật, tai nạn</t>
        </is>
      </c>
      <c r="D89" s="3" t="inlineStr">
        <is>
          <t>PTI không bảo lãnh</t>
        </is>
      </c>
      <c r="E89" s="4" t="n">
        <v>0</v>
      </c>
      <c r="F89" s="4" t="n">
        <v>12679629</v>
      </c>
      <c r="G89" s="4" t="n">
        <v>0</v>
      </c>
      <c r="H89" s="4">
        <f>E89+F89+G89</f>
        <v/>
      </c>
      <c r="I89" s="3">
        <f>IF(D89="PTI bảo lãnh","Bảo lãnh đủ",IF(D89="PTI bảo lãnh 1 phần","Bảo lãnh một phần",IF(D89="PTI không bảo lãnh","Không bảo lãnh (KH đã TT)",IF(D89="PTI không bảo lãnh, Khách hàng chưa thanh toán","Không bảo lãnh (Chưa thu)",D89))))</f>
        <v/>
      </c>
    </row>
    <row r="90">
      <c r="A90" s="3" t="n">
        <v>87</v>
      </c>
      <c r="B90" s="3" t="inlineStr">
        <is>
          <t>BIển-087</t>
        </is>
      </c>
      <c r="C90" s="3" t="inlineStr">
        <is>
          <t>Đâm, lật, tai nạn</t>
        </is>
      </c>
      <c r="D90" s="3" t="inlineStr">
        <is>
          <t>PTI không bảo lãnh</t>
        </is>
      </c>
      <c r="E90" s="4" t="n">
        <v>0</v>
      </c>
      <c r="F90" s="4" t="n">
        <v>12679629</v>
      </c>
      <c r="G90" s="4" t="n">
        <v>0</v>
      </c>
      <c r="H90" s="4">
        <f>E90+F90+G90</f>
        <v/>
      </c>
      <c r="I90" s="3">
        <f>IF(D90="PTI bảo lãnh","Bảo lãnh đủ",IF(D90="PTI bảo lãnh 1 phần","Bảo lãnh một phần",IF(D90="PTI không bảo lãnh","Không bảo lãnh (KH đã TT)",IF(D90="PTI không bảo lãnh, Khách hàng chưa thanh toán","Không bảo lãnh (Chưa thu)",D90))))</f>
        <v/>
      </c>
    </row>
    <row r="91">
      <c r="A91" s="3" t="n">
        <v>88</v>
      </c>
      <c r="B91" s="3" t="inlineStr">
        <is>
          <t>BIển-088</t>
        </is>
      </c>
      <c r="C91" s="3" t="inlineStr">
        <is>
          <t>Hỗ trợ tại chỗ</t>
        </is>
      </c>
      <c r="D91" s="3" t="inlineStr">
        <is>
          <t>PTI không bảo lãnh</t>
        </is>
      </c>
      <c r="E91" s="4" t="n">
        <v>0</v>
      </c>
      <c r="F91" s="4" t="n">
        <v>725926</v>
      </c>
      <c r="G91" s="4" t="n">
        <v>0</v>
      </c>
      <c r="H91" s="4">
        <f>E91+F91+G91</f>
        <v/>
      </c>
      <c r="I91" s="3">
        <f>IF(D91="PTI bảo lãnh","Bảo lãnh đủ",IF(D91="PTI bảo lãnh 1 phần","Bảo lãnh một phần",IF(D91="PTI không bảo lãnh","Không bảo lãnh (KH đã TT)",IF(D91="PTI không bảo lãnh, Khách hàng chưa thanh toán","Không bảo lãnh (Chưa thu)",D91))))</f>
        <v/>
      </c>
    </row>
    <row r="92">
      <c r="A92" s="3" t="n">
        <v>89</v>
      </c>
      <c r="B92" s="3" t="inlineStr">
        <is>
          <t>BIển-089</t>
        </is>
      </c>
      <c r="C92" s="3" t="inlineStr">
        <is>
          <t>Đâm, lật, tai nạn</t>
        </is>
      </c>
      <c r="D92" s="3" t="inlineStr">
        <is>
          <t>PTI không bảo lãnh, Khách hàng chưa thanh toán</t>
        </is>
      </c>
      <c r="E92" s="4" t="n">
        <v>0</v>
      </c>
      <c r="F92" s="4" t="n">
        <v>0</v>
      </c>
      <c r="G92" s="4" t="n">
        <v>11666667</v>
      </c>
      <c r="H92" s="4">
        <f>E92+F92+G92</f>
        <v/>
      </c>
      <c r="I92" s="3">
        <f>IF(D92="PTI bảo lãnh","Bảo lãnh đủ",IF(D92="PTI bảo lãnh 1 phần","Bảo lãnh một phần",IF(D92="PTI không bảo lãnh","Không bảo lãnh (KH đã TT)",IF(D92="PTI không bảo lãnh, Khách hàng chưa thanh toán","Không bảo lãnh (Chưa thu)",D92))))</f>
        <v/>
      </c>
    </row>
    <row r="94">
      <c r="D94" t="inlineStr">
        <is>
          <t>LAST_ROW marker:</t>
        </is>
      </c>
      <c r="E94" t="n">
        <v>92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BÁO CÁO CỨU HỘ PTI</t>
        </is>
      </c>
    </row>
    <row r="2">
      <c r="A2" t="inlineStr">
        <is>
          <t>Kỳ báo cáo:</t>
        </is>
      </c>
      <c r="B2" t="inlineStr">
        <is>
          <t>01/07/2026 – 31/07/2026</t>
        </is>
      </c>
    </row>
    <row r="3">
      <c r="A3" t="inlineStr">
        <is>
          <t>Đơn vị lập:</t>
        </is>
      </c>
      <c r="B3" t="inlineStr">
        <is>
          <t>VETC RSA</t>
        </is>
      </c>
    </row>
    <row r="5">
      <c r="A5" s="1" t="inlineStr">
        <is>
          <t>1. Tổng quan theo trạng thái bảo lãnh</t>
        </is>
      </c>
    </row>
    <row r="6">
      <c r="A6" s="6" t="inlineStr">
        <is>
          <t>Nhóm báo cáo</t>
        </is>
      </c>
      <c r="B6" s="6" t="inlineStr">
        <is>
          <t>Số ca</t>
        </is>
      </c>
      <c r="C6" s="6" t="inlineStr">
        <is>
          <t>Tổng chi phí</t>
        </is>
      </c>
      <c r="D6" s="6" t="inlineStr">
        <is>
          <t>PTI thanh toán</t>
        </is>
      </c>
      <c r="E6" s="6" t="inlineStr">
        <is>
          <t>KH đã thanh toán</t>
        </is>
      </c>
      <c r="F6" s="6" t="inlineStr">
        <is>
          <t>KH công nợ</t>
        </is>
      </c>
      <c r="G6" s="6" t="inlineStr">
        <is>
          <t>Ghi chú</t>
        </is>
      </c>
    </row>
    <row r="7">
      <c r="A7" s="3" t="inlineStr">
        <is>
          <t>Bảo lãnh đủ</t>
        </is>
      </c>
      <c r="B7" s="4">
        <f>COUNTIF(DuLieu!$I$4:$I$92,A7)</f>
        <v/>
      </c>
      <c r="C7" s="4">
        <f>SUMIF(DuLieu!$I$4:$I$92,A7,DuLieu!$H$4:$H$92)</f>
        <v/>
      </c>
      <c r="D7" s="4">
        <f>SUMIF(DuLieu!$I$4:$I$92,A7,DuLieu!$E$4:$E$92)</f>
        <v/>
      </c>
      <c r="E7" s="4">
        <f>SUMIF(DuLieu!$I$4:$I$92,A7,DuLieu!$F$4:$F$92)</f>
        <v/>
      </c>
      <c r="F7" s="4">
        <f>SUMIF(DuLieu!$I$4:$I$92,A7,DuLieu!$G$4:$G$92)</f>
        <v/>
      </c>
      <c r="G7" s="3" t="inlineStr"/>
    </row>
    <row r="8">
      <c r="A8" s="3" t="inlineStr">
        <is>
          <t>Bảo lãnh một phần</t>
        </is>
      </c>
      <c r="B8" s="4">
        <f>COUNTIF(DuLieu!$I$4:$I$92,A8)</f>
        <v/>
      </c>
      <c r="C8" s="4">
        <f>SUMIF(DuLieu!$I$4:$I$92,A8,DuLieu!$H$4:$H$92)</f>
        <v/>
      </c>
      <c r="D8" s="4">
        <f>SUMIF(DuLieu!$I$4:$I$92,A8,DuLieu!$E$4:$E$92)</f>
        <v/>
      </c>
      <c r="E8" s="4">
        <f>SUMIF(DuLieu!$I$4:$I$92,A8,DuLieu!$F$4:$F$92)</f>
        <v/>
      </c>
      <c r="F8" s="4">
        <f>SUMIF(DuLieu!$I$4:$I$92,A8,DuLieu!$G$4:$G$92)</f>
        <v/>
      </c>
      <c r="G8" s="3" t="inlineStr">
        <is>
          <t>PTI và KH cùng chi trả phần vượt hạn mức</t>
        </is>
      </c>
    </row>
    <row r="9">
      <c r="A9" s="3" t="inlineStr">
        <is>
          <t>Không bảo lãnh (KH đã TT)</t>
        </is>
      </c>
      <c r="B9" s="4">
        <f>COUNTIF(DuLieu!$I$4:$I$92,A9)</f>
        <v/>
      </c>
      <c r="C9" s="4">
        <f>SUMIF(DuLieu!$I$4:$I$92,A9,DuLieu!$H$4:$H$92)</f>
        <v/>
      </c>
      <c r="D9" s="4">
        <f>SUMIF(DuLieu!$I$4:$I$92,A9,DuLieu!$E$4:$E$92)</f>
        <v/>
      </c>
      <c r="E9" s="4">
        <f>SUMIF(DuLieu!$I$4:$I$92,A9,DuLieu!$F$4:$F$92)</f>
        <v/>
      </c>
      <c r="F9" s="4">
        <f>SUMIF(DuLieu!$I$4:$I$92,A9,DuLieu!$G$4:$G$92)</f>
        <v/>
      </c>
      <c r="G9" s="3" t="inlineStr">
        <is>
          <t>KH tự chi trả toàn bộ</t>
        </is>
      </c>
    </row>
    <row r="10">
      <c r="A10" s="3" t="inlineStr">
        <is>
          <t>Không bảo lãnh (Chưa thu)</t>
        </is>
      </c>
      <c r="B10" s="4">
        <f>COUNTIF(DuLieu!$I$4:$I$92,A10)</f>
        <v/>
      </c>
      <c r="C10" s="4">
        <f>SUMIF(DuLieu!$I$4:$I$92,A10,DuLieu!$H$4:$H$92)</f>
        <v/>
      </c>
      <c r="D10" s="4">
        <f>SUMIF(DuLieu!$I$4:$I$92,A10,DuLieu!$E$4:$E$92)</f>
        <v/>
      </c>
      <c r="E10" s="4">
        <f>SUMIF(DuLieu!$I$4:$I$92,A10,DuLieu!$F$4:$F$92)</f>
        <v/>
      </c>
      <c r="F10" s="4">
        <f>SUMIF(DuLieu!$I$4:$I$92,A10,DuLieu!$G$4:$G$92)</f>
        <v/>
      </c>
      <c r="G10" s="3" t="inlineStr">
        <is>
          <t>Đang theo dõi thu hồi</t>
        </is>
      </c>
    </row>
    <row r="11">
      <c r="A11" s="7" t="inlineStr">
        <is>
          <t>TỔNG</t>
        </is>
      </c>
      <c r="B11" s="8">
        <f>SUM(B7:B10)</f>
        <v/>
      </c>
      <c r="C11" s="8">
        <f>SUM(C7:C10)</f>
        <v/>
      </c>
      <c r="D11" s="8">
        <f>SUM(D7:D10)</f>
        <v/>
      </c>
      <c r="E11" s="8">
        <f>SUM(E7:E10)</f>
        <v/>
      </c>
      <c r="F11" s="8">
        <f>SUM(F7:F10)</f>
        <v/>
      </c>
      <c r="G11" s="7" t="n"/>
    </row>
    <row r="14">
      <c r="A14" s="1" t="inlineStr">
        <is>
          <t>2. Chi tiết theo loại dịch vụ</t>
        </is>
      </c>
    </row>
    <row r="15">
      <c r="A15" s="6" t="inlineStr">
        <is>
          <t>Loại dịch vụ</t>
        </is>
      </c>
      <c r="B15" s="6" t="inlineStr">
        <is>
          <t>Số ca</t>
        </is>
      </c>
      <c r="C15" s="6" t="inlineStr">
        <is>
          <t>Bảo lãnh đủ</t>
        </is>
      </c>
      <c r="D15" s="6" t="inlineStr">
        <is>
          <t>Bảo lãnh 1 phần</t>
        </is>
      </c>
      <c r="E15" s="6" t="inlineStr">
        <is>
          <t>Không bảo lãnh</t>
        </is>
      </c>
    </row>
    <row r="16">
      <c r="A16" s="3" t="inlineStr">
        <is>
          <t>Cẩu kéo</t>
        </is>
      </c>
      <c r="B16" s="4">
        <f>COUNTIF(DuLieu!$C$4:$C$92,A16)</f>
        <v/>
      </c>
      <c r="C16" s="4">
        <f>COUNTIFS(DuLieu!$C$4:$C$92,A16,DuLieu!$I$4:$I$92,"Bảo lãnh đủ")</f>
        <v/>
      </c>
      <c r="D16" s="4">
        <f>COUNTIFS(DuLieu!$C$4:$C$92,A16,DuLieu!$I$4:$I$92,"Bảo lãnh một phần")</f>
        <v/>
      </c>
      <c r="E16" s="4">
        <f>COUNTIFS(DuLieu!$C$4:$C$92,A16,DuLieu!$I$4:$I$92,"Không bảo lãnh (KH đã TT)")+COUNTIFS(DuLieu!$C$4:$C$92,A16,DuLieu!$I$4:$I$92,"Không bảo lãnh (Chưa thu)")</f>
        <v/>
      </c>
    </row>
    <row r="17">
      <c r="A17" s="3" t="inlineStr">
        <is>
          <t>Hỗ trợ tại chỗ</t>
        </is>
      </c>
      <c r="B17" s="4">
        <f>COUNTIF(DuLieu!$C$4:$C$92,A17)</f>
        <v/>
      </c>
      <c r="C17" s="4">
        <f>COUNTIFS(DuLieu!$C$4:$C$92,A17,DuLieu!$I$4:$I$92,"Bảo lãnh đủ")</f>
        <v/>
      </c>
      <c r="D17" s="4">
        <f>COUNTIFS(DuLieu!$C$4:$C$92,A17,DuLieu!$I$4:$I$92,"Bảo lãnh một phần")</f>
        <v/>
      </c>
      <c r="E17" s="4">
        <f>COUNTIFS(DuLieu!$C$4:$C$92,A17,DuLieu!$I$4:$I$92,"Không bảo lãnh (KH đã TT)")+COUNTIFS(DuLieu!$C$4:$C$92,A17,DuLieu!$I$4:$I$92,"Không bảo lãnh (Chưa thu)")</f>
        <v/>
      </c>
    </row>
    <row r="18">
      <c r="A18" s="3" t="inlineStr">
        <is>
          <t>Cẩu kéo, thủy kích</t>
        </is>
      </c>
      <c r="B18" s="4">
        <f>COUNTIF(DuLieu!$C$4:$C$92,A18)</f>
        <v/>
      </c>
      <c r="C18" s="4">
        <f>COUNTIFS(DuLieu!$C$4:$C$92,A18,DuLieu!$I$4:$I$92,"Bảo lãnh đủ")</f>
        <v/>
      </c>
      <c r="D18" s="4">
        <f>COUNTIFS(DuLieu!$C$4:$C$92,A18,DuLieu!$I$4:$I$92,"Bảo lãnh một phần")</f>
        <v/>
      </c>
      <c r="E18" s="4">
        <f>COUNTIFS(DuLieu!$C$4:$C$92,A18,DuLieu!$I$4:$I$92,"Không bảo lãnh (KH đã TT)")+COUNTIFS(DuLieu!$C$4:$C$92,A18,DuLieu!$I$4:$I$92,"Không bảo lãnh (Chưa thu)")</f>
        <v/>
      </c>
    </row>
    <row r="19">
      <c r="A19" s="3" t="inlineStr">
        <is>
          <t>Đâm, lật, tai nạn</t>
        </is>
      </c>
      <c r="B19" s="4">
        <f>COUNTIF(DuLieu!$C$4:$C$92,A19)</f>
        <v/>
      </c>
      <c r="C19" s="4">
        <f>COUNTIFS(DuLieu!$C$4:$C$92,A19,DuLieu!$I$4:$I$92,"Bảo lãnh đủ")</f>
        <v/>
      </c>
      <c r="D19" s="4">
        <f>COUNTIFS(DuLieu!$C$4:$C$92,A19,DuLieu!$I$4:$I$92,"Bảo lãnh một phần")</f>
        <v/>
      </c>
      <c r="E19" s="4">
        <f>COUNTIFS(DuLieu!$C$4:$C$92,A19,DuLieu!$I$4:$I$92,"Không bảo lãnh (KH đã TT)")+COUNTIFS(DuLieu!$C$4:$C$92,A19,DuLieu!$I$4:$I$92,"Không bảo lãnh (Chưa thu)")</f>
        <v/>
      </c>
    </row>
    <row r="20">
      <c r="A20" s="7" t="inlineStr">
        <is>
          <t>TỔNG</t>
        </is>
      </c>
      <c r="B20" s="7">
        <f>SUM(B16:B19)</f>
        <v/>
      </c>
      <c r="C20" s="7">
        <f>SUM(C16:C19)</f>
        <v/>
      </c>
      <c r="D20" s="7">
        <f>SUM(D16:D19)</f>
        <v/>
      </c>
      <c r="E20" s="7">
        <f>SUM(E16:E19)</f>
        <v/>
      </c>
    </row>
    <row r="22">
      <c r="A22" s="9" t="inlineStr">
        <is>
          <t>Ghi chú: Cột 'KH công nợ' là số tiền chưa thu từ khách hàng, không tính vào 'KH đã thanh toán'.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>
      <c r="A1" s="1" t="inlineStr"/>
      <c r="B1" t="inlineStr"/>
    </row>
    <row r="2">
      <c r="A2" s="10" t="inlineStr">
        <is>
          <t>Cột trên sheet DuLieu</t>
        </is>
      </c>
      <c r="B2" s="10" t="inlineStr">
        <is>
          <t>Mô tả</t>
        </is>
      </c>
    </row>
    <row r="3">
      <c r="A3" t="inlineStr">
        <is>
          <t>A – STT</t>
        </is>
      </c>
      <c r="B3" t="inlineStr">
        <is>
          <t>Số thứ tự</t>
        </is>
      </c>
    </row>
    <row r="4">
      <c r="A4" t="inlineStr">
        <is>
          <t>B – Biển kiểm soát</t>
        </is>
      </c>
      <c r="B4" t="inlineStr">
        <is>
          <t>Mã định danh ca cứu hộ (1 dòng = 1 ca)</t>
        </is>
      </c>
    </row>
    <row r="5">
      <c r="A5" t="inlineStr">
        <is>
          <t>C – Loại dịch vụ</t>
        </is>
      </c>
      <c r="B5" t="inlineStr">
        <is>
          <t>Cẩu kéo / Hỗ trợ tại chỗ / …</t>
        </is>
      </c>
    </row>
    <row r="6">
      <c r="A6" t="inlineStr">
        <is>
          <t>D – Trạng thái bảo lãnh (nguồn)</t>
        </is>
      </c>
      <c r="B6" t="inlineStr">
        <is>
          <t>Giá trị export từ hệ thống</t>
        </is>
      </c>
    </row>
    <row r="7">
      <c r="A7" t="inlineStr">
        <is>
          <t>E – PTI thanh toán</t>
        </is>
      </c>
      <c r="B7" t="inlineStr">
        <is>
          <t>Số tiền PTI đã/ sẽ thanh toán cho ca này</t>
        </is>
      </c>
    </row>
    <row r="8">
      <c r="A8" t="inlineStr">
        <is>
          <t>F – KH đã thanh toán</t>
        </is>
      </c>
      <c r="B8" t="inlineStr">
        <is>
          <t>Số tiền đã thu từ khách hàng</t>
        </is>
      </c>
    </row>
    <row r="9">
      <c r="A9" t="inlineStr">
        <is>
          <t>G – KH công nợ</t>
        </is>
      </c>
      <c r="B9" t="inlineStr">
        <is>
          <t>Số tiền KH chưa thanh toán (nếu có)</t>
        </is>
      </c>
    </row>
    <row r="10">
      <c r="A10" t="inlineStr">
        <is>
          <t>H – Tổng chi phí</t>
        </is>
      </c>
      <c r="B10">
        <f>E+F+G</f>
        <v/>
      </c>
    </row>
    <row r="11">
      <c r="A11" t="inlineStr">
        <is>
          <t>I – Nhóm báo cáo</t>
        </is>
      </c>
      <c r="B11" t="inlineStr">
        <is>
          <t>Chuẩn hóa tên nhóm để pivot/báo cáo</t>
        </is>
      </c>
    </row>
    <row r="12">
      <c r="A12" t="inlineStr"/>
      <c r="B12" t="inlineStr"/>
    </row>
    <row r="13">
      <c r="A13" t="inlineStr">
        <is>
          <t>Công thức cột H (Tổng chi phí)</t>
        </is>
      </c>
      <c r="B13">
        <f>E2+F2+G2</f>
        <v/>
      </c>
    </row>
    <row r="14">
      <c r="A14" t="inlineStr">
        <is>
          <t>Công thức cột I (Nhóm báo cáo)</t>
        </is>
      </c>
      <c r="B14">
        <f>IF(D2="PTI bảo lãnh","Bảo lãnh đủ",IF(D2="PTI bảo lãnh 1 phần","Bảo lãnh một phần",IF(D2="PTI không bảo lãnh","Không bảo lãnh (KH đã TT)",IF(D2="PTI không bảo lãnh, Khách hàng chưa thanh toán","Không bảo lãnh (Chưa thu)",D2))))</f>
        <v/>
      </c>
    </row>
    <row r="15">
      <c r="A15" t="inlineStr"/>
      <c r="B15" t="inlineStr"/>
    </row>
    <row r="16">
      <c r="A16" t="inlineStr">
        <is>
          <t>Tổng số ca (ví dụ)</t>
        </is>
      </c>
      <c r="B16">
        <f>COUNTA(DuLieu!B4:B92)</f>
        <v/>
      </c>
    </row>
    <row r="17">
      <c r="A17" t="inlineStr">
        <is>
          <t>Tổng PTI thanh toán</t>
        </is>
      </c>
      <c r="B17">
        <f>SUM(DuLieu!E4:E92)</f>
        <v/>
      </c>
    </row>
    <row r="18">
      <c r="A18" t="inlineStr">
        <is>
          <t>Tổng KH đã TT</t>
        </is>
      </c>
      <c r="B18">
        <f>SUM(DuLieu!F4:F92)</f>
        <v/>
      </c>
    </row>
    <row r="19">
      <c r="A19" t="inlineStr">
        <is>
          <t>Tổng công nợ KH</t>
        </is>
      </c>
      <c r="B19">
        <f>SUM(DuLieu!G4:G92)</f>
        <v/>
      </c>
    </row>
    <row r="20">
      <c r="A20" t="inlineStr">
        <is>
          <t>Số ca bảo lãnh đủ</t>
        </is>
      </c>
      <c r="B20">
        <f>COUNTIF(DuLieu!I4:I92,"Bảo lãnh đủ")</f>
        <v/>
      </c>
    </row>
    <row r="21">
      <c r="A21" t="inlineStr"/>
      <c r="B21" t="inlineStr"/>
    </row>
    <row r="22">
      <c r="A22" t="inlineStr">
        <is>
          <t>Lưu ý</t>
        </is>
      </c>
      <c r="B22" t="inlineStr">
        <is>
          <t>Mỗi ca = 1 dòng. Paste dữ liệu từ hàng 4, kéo công thức H:I xuống.</t>
        </is>
      </c>
    </row>
    <row r="23">
      <c r="A23" t="inlineStr"/>
      <c r="B23" t="inlineStr">
        <is>
          <t>Cập nhật LAST_ROW trên sheet DuLieu hoặc dùng Excel Table (Ctrl+T) để công thức tự mở rộng.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2026-08-07T10:26:23Z</dcterms:created>
  <dcterms:modified xsi:type="dcterms:W3CDTF">2026-08-07T10:26:23Z</dcterms:modified>
</cp:coreProperties>
</file>